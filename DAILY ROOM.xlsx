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4"/>
  <workbookPr/>
  <mc:AlternateContent xmlns:mc="http://schemas.openxmlformats.org/markup-compatibility/2006">
    <mc:Choice Requires="x15">
      <x15ac:absPath xmlns:x15ac="http://schemas.microsoft.com/office/spreadsheetml/2010/11/ac" url="C:\Users\FARABY\Downloads\"/>
    </mc:Choice>
  </mc:AlternateContent>
  <xr:revisionPtr revIDLastSave="0" documentId="13_ncr:1_{C6ABE917-A178-434E-9453-E4D8DCEC92A7}" xr6:coauthVersionLast="47" xr6:coauthVersionMax="47" xr10:uidLastSave="{00000000-0000-0000-0000-000000000000}"/>
  <bookViews>
    <workbookView xWindow="-110" yWindow="-110" windowWidth="19420" windowHeight="11500" tabRatio="603" xr2:uid="{00000000-000D-0000-FFFF-FFFF00000000}"/>
  </bookViews>
  <sheets>
    <sheet name="AGT 26" sheetId="58" r:id="rId1"/>
  </sheets>
  <definedNames>
    <definedName name="_xlnm._FilterDatabase" localSheetId="0" hidden="1">'AGT 26'!$A$4:$AN$5</definedName>
    <definedName name="_xlnm.Print_Area" localSheetId="0">'AGT 26'!$A$1:$AN$88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23" i="58" l="1"/>
  <c r="AL65" i="58"/>
  <c r="AL37" i="58"/>
  <c r="AL14" i="58"/>
  <c r="AL19" i="58"/>
  <c r="AL7" i="58"/>
  <c r="AL52" i="58"/>
  <c r="AL58" i="58"/>
  <c r="AL69" i="58"/>
  <c r="AL71" i="58"/>
  <c r="AL42" i="58"/>
  <c r="AL68" i="58"/>
  <c r="AL55" i="58"/>
  <c r="AL49" i="58"/>
  <c r="AL54" i="58"/>
  <c r="AL32" i="58"/>
  <c r="AL16" i="58"/>
  <c r="AL47" i="58"/>
  <c r="AL48" i="58"/>
  <c r="AL24" i="58"/>
  <c r="AM86" i="58"/>
  <c r="G79" i="58"/>
  <c r="H79" i="58"/>
  <c r="I79" i="58"/>
  <c r="J79" i="58"/>
  <c r="K79" i="58"/>
  <c r="L79" i="58"/>
  <c r="M79" i="58"/>
  <c r="N79" i="58"/>
  <c r="O79" i="58"/>
  <c r="P79" i="58"/>
  <c r="Q79" i="58"/>
  <c r="R79" i="58"/>
  <c r="S79" i="58"/>
  <c r="T79" i="58"/>
  <c r="U79" i="58"/>
  <c r="V79" i="58"/>
  <c r="W79" i="58"/>
  <c r="X79" i="58"/>
  <c r="Y79" i="58"/>
  <c r="Z79" i="58"/>
  <c r="AA79" i="58"/>
  <c r="AB79" i="58"/>
  <c r="AC79" i="58"/>
  <c r="AD79" i="58"/>
  <c r="AE79" i="58"/>
  <c r="AF79" i="58"/>
  <c r="AG79" i="58"/>
  <c r="AH79" i="58"/>
  <c r="AI79" i="58"/>
  <c r="AJ74" i="58"/>
  <c r="AJ79" i="58"/>
  <c r="AL79" i="58"/>
  <c r="G76" i="58"/>
  <c r="H76" i="58"/>
  <c r="I76" i="58"/>
  <c r="J76" i="58"/>
  <c r="K76" i="58"/>
  <c r="L76" i="58"/>
  <c r="M76" i="58"/>
  <c r="N76" i="58"/>
  <c r="O76" i="58"/>
  <c r="P76" i="58"/>
  <c r="Q76" i="58"/>
  <c r="R76" i="58"/>
  <c r="S76" i="58"/>
  <c r="T76" i="58"/>
  <c r="U76" i="58"/>
  <c r="V76" i="58"/>
  <c r="W76" i="58"/>
  <c r="X76" i="58"/>
  <c r="Y76" i="58"/>
  <c r="Z76" i="58"/>
  <c r="AA76" i="58"/>
  <c r="AB76" i="58"/>
  <c r="AC76" i="58"/>
  <c r="AD76" i="58"/>
  <c r="AE76" i="58"/>
  <c r="AF76" i="58"/>
  <c r="AG76" i="58"/>
  <c r="AH76" i="58"/>
  <c r="AI76" i="58"/>
  <c r="AJ76" i="58"/>
  <c r="AK74" i="58"/>
  <c r="AK76" i="58"/>
  <c r="AL76" i="58"/>
  <c r="AL75" i="58"/>
  <c r="AL78" i="58"/>
  <c r="AK78" i="58"/>
  <c r="AJ78" i="58"/>
  <c r="AI78" i="58"/>
  <c r="AH78" i="58"/>
  <c r="AG78" i="58"/>
  <c r="AF78" i="58"/>
  <c r="AE78" i="58"/>
  <c r="AD78" i="58"/>
  <c r="AC78" i="58"/>
  <c r="AB78" i="58"/>
  <c r="AA78" i="58"/>
  <c r="Z78" i="58"/>
  <c r="Y78" i="58"/>
  <c r="X78" i="58"/>
  <c r="W78" i="58"/>
  <c r="V78" i="58"/>
  <c r="U78" i="58"/>
  <c r="T78" i="58"/>
  <c r="S78" i="58"/>
  <c r="R78" i="58"/>
  <c r="Q78" i="58"/>
  <c r="P78" i="58"/>
  <c r="O78" i="58"/>
  <c r="N78" i="58"/>
  <c r="M78" i="58"/>
  <c r="L78" i="58"/>
  <c r="K78" i="58"/>
  <c r="J78" i="58"/>
  <c r="I78" i="58"/>
  <c r="H78" i="58"/>
  <c r="G78" i="58"/>
  <c r="G77" i="58"/>
  <c r="H77" i="58"/>
  <c r="I77" i="58"/>
  <c r="J77" i="58"/>
  <c r="K77" i="58"/>
  <c r="L77" i="58"/>
  <c r="M77" i="58"/>
  <c r="N77" i="58"/>
  <c r="O77" i="58"/>
  <c r="P77" i="58"/>
  <c r="Q77" i="58"/>
  <c r="R77" i="58"/>
  <c r="S77" i="58"/>
  <c r="T77" i="58"/>
  <c r="U77" i="58"/>
  <c r="V77" i="58"/>
  <c r="W77" i="58"/>
  <c r="X77" i="58"/>
  <c r="Y77" i="58"/>
  <c r="Z77" i="58"/>
  <c r="AA77" i="58"/>
  <c r="AB77" i="58"/>
  <c r="AC77" i="58"/>
  <c r="AD77" i="58"/>
  <c r="AE77" i="58"/>
  <c r="AF77" i="58"/>
  <c r="AG77" i="58"/>
  <c r="AH77" i="58"/>
  <c r="AI77" i="58"/>
  <c r="AJ77" i="58"/>
  <c r="AK77" i="58"/>
  <c r="AL77" i="58"/>
  <c r="AL74" i="58"/>
  <c r="AL73" i="58"/>
  <c r="AL72" i="58"/>
  <c r="AL70" i="58"/>
  <c r="AL67" i="58"/>
  <c r="AL66" i="58"/>
  <c r="AL64" i="58"/>
  <c r="AL63" i="58"/>
  <c r="AL61" i="58"/>
  <c r="AL60" i="58"/>
  <c r="AL59" i="58"/>
  <c r="AL57" i="58"/>
  <c r="AL56" i="58"/>
  <c r="AL53" i="58"/>
  <c r="AL51" i="58"/>
  <c r="AL50" i="58"/>
  <c r="AL46" i="58"/>
  <c r="AL45" i="58"/>
  <c r="AL44" i="58"/>
  <c r="AL43" i="58"/>
  <c r="AL41" i="58"/>
  <c r="AL40" i="58"/>
  <c r="AL39" i="58"/>
  <c r="AL38" i="58"/>
  <c r="AL36" i="58"/>
  <c r="AL35" i="58"/>
  <c r="AL34" i="58"/>
  <c r="AL33" i="58"/>
  <c r="AL31" i="58"/>
  <c r="AL30" i="58"/>
  <c r="AL29" i="58"/>
  <c r="AL28" i="58"/>
  <c r="AL27" i="58"/>
  <c r="AL26" i="58"/>
  <c r="AL25" i="58"/>
  <c r="AL22" i="58"/>
  <c r="AL21" i="58"/>
  <c r="AL20" i="58"/>
  <c r="AL18" i="58"/>
  <c r="AL17" i="58"/>
  <c r="AL15" i="58"/>
  <c r="AL13" i="58"/>
  <c r="AL12" i="58"/>
  <c r="AL11" i="58"/>
  <c r="AL10" i="58"/>
  <c r="AL9" i="58"/>
  <c r="AL8" i="58"/>
  <c r="AL6" i="58"/>
  <c r="H4" i="58"/>
  <c r="I4" i="58"/>
  <c r="J4" i="58"/>
  <c r="K4" i="58"/>
  <c r="L4" i="58"/>
  <c r="M4" i="58"/>
  <c r="N4" i="58"/>
  <c r="O4" i="58"/>
  <c r="P4" i="58"/>
  <c r="Q4" i="58"/>
  <c r="R4" i="58"/>
  <c r="S4" i="58"/>
  <c r="T4" i="58"/>
  <c r="U4" i="58"/>
  <c r="V4" i="58"/>
  <c r="W4" i="58"/>
  <c r="X4" i="58"/>
  <c r="Y4" i="58"/>
  <c r="Z4" i="58"/>
  <c r="AA4" i="58"/>
  <c r="AB4" i="58"/>
  <c r="AC4" i="58"/>
  <c r="AD4" i="58"/>
  <c r="AE4" i="58"/>
  <c r="AF4" i="58"/>
  <c r="AG4" i="58"/>
  <c r="AH4" i="58"/>
  <c r="AI4" i="58"/>
  <c r="AJ4" i="58"/>
  <c r="AK4" i="58"/>
</calcChain>
</file>

<file path=xl/sharedStrings.xml><?xml version="1.0" encoding="utf-8"?>
<sst xmlns="http://schemas.openxmlformats.org/spreadsheetml/2006/main" count="612" uniqueCount="216">
  <si>
    <t>NO</t>
  </si>
  <si>
    <t>MTD</t>
  </si>
  <si>
    <t>ABIHOMESTAY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</si>
  <si>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</si>
  <si>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</si>
  <si>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</si>
  <si>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</si>
  <si>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</si>
  <si>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</si>
  <si>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</si>
  <si>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</si>
  <si>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</si>
  <si>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</si>
  <si>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</si>
  <si>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</si>
  <si>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</si>
  <si>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</si>
  <si>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</si>
  <si>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</si>
  <si>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</si>
  <si>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</si>
  <si>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</si>
  <si>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</si>
  <si>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</si>
  <si>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</si>
  <si>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</si>
  <si>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</si>
  <si>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</si>
  <si>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</si>
  <si>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</si>
  <si>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</si>
  <si>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</si>
  <si>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</si>
  <si>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</si>
  <si>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</si>
  <si>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</si>
  <si>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</si>
  <si>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</si>
  <si>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</si>
  <si>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</si>
  <si>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</si>
  <si>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</si>
  <si>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</si>
  <si>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</si>
  <si>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</si>
  <si>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</si>
  <si>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</si>
  <si>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</si>
  <si>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</si>
  <si>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</si>
  <si>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</si>
  <si>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</si>
  <si>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</si>
  <si>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</si>
  <si>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</si>
  <si>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</si>
  <si>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</si>
  <si>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</si>
  <si>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</si>
  <si>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</si>
  <si>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</si>
  <si>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REAS S RYAN</t>
  </si>
  <si>
    <t>HAFIZH</t>
  </si>
  <si>
    <t>JENIS KELAMIN</t>
  </si>
  <si>
    <t>LK</t>
  </si>
  <si>
    <t>CRISTO</t>
  </si>
  <si>
    <t>SADID</t>
  </si>
  <si>
    <t>RISKI</t>
  </si>
  <si>
    <t>PR</t>
  </si>
  <si>
    <t>DAILY ROOM</t>
  </si>
  <si>
    <t>ASAL</t>
  </si>
  <si>
    <t>PEKERJAAN</t>
  </si>
  <si>
    <t>MEDAN</t>
  </si>
  <si>
    <t>MAHASISWA</t>
  </si>
  <si>
    <t>-</t>
  </si>
  <si>
    <t>BANDUNG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</si>
  <si>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</si>
  <si>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</si>
  <si>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</si>
  <si>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</si>
  <si>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</si>
  <si>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</si>
  <si>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</si>
  <si>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</si>
  <si>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</si>
  <si>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JUMLAH KAMAR</t>
  </si>
  <si>
    <t>KAMAR KOSONG</t>
  </si>
  <si>
    <t>HUNIAN KAMAR</t>
  </si>
  <si>
    <t>PENDAPATAN KAMAR</t>
  </si>
  <si>
    <t>6 BULAN</t>
  </si>
  <si>
    <t>HARIAN</t>
  </si>
  <si>
    <t>MINGGUAN</t>
  </si>
  <si>
    <t>BULANAN</t>
  </si>
  <si>
    <t>BIREUN</t>
  </si>
  <si>
    <t>TAKENGON</t>
  </si>
  <si>
    <t>JUMLAH KAMAR TERJUAL</t>
  </si>
  <si>
    <t>KET</t>
  </si>
  <si>
    <t>LABUHAN BATU</t>
  </si>
  <si>
    <t>BAMBANG IRAWAN</t>
  </si>
  <si>
    <t>6 BULANAN</t>
  </si>
  <si>
    <t>TAHUNAN</t>
  </si>
  <si>
    <t>JUMLAH</t>
  </si>
  <si>
    <t>STATUS</t>
  </si>
  <si>
    <t>STAY</t>
  </si>
  <si>
    <t>JUMAT</t>
  </si>
  <si>
    <t>SABTU</t>
  </si>
  <si>
    <t>MINGGU</t>
  </si>
  <si>
    <t>SENIN</t>
  </si>
  <si>
    <t>SELASA</t>
  </si>
  <si>
    <t>RABU</t>
  </si>
  <si>
    <t>KAMIS</t>
  </si>
  <si>
    <t>KAMAR</t>
  </si>
  <si>
    <t>TAMU STAY</t>
  </si>
  <si>
    <t>NO KAMAR</t>
  </si>
  <si>
    <t>NAMA</t>
  </si>
  <si>
    <t>NAGAN RAYA</t>
  </si>
  <si>
    <t>BENER MERIAH</t>
  </si>
  <si>
    <t>PASIS</t>
  </si>
  <si>
    <t>CHEKOUT</t>
  </si>
  <si>
    <t>ASN</t>
  </si>
  <si>
    <t>LANGSA</t>
  </si>
  <si>
    <t>TM RISKI</t>
  </si>
  <si>
    <t>AWAN BIMO</t>
  </si>
  <si>
    <t>MAHFUD</t>
  </si>
  <si>
    <t>BLANG PEGAYON</t>
  </si>
  <si>
    <t>LHOKSEUMAWE</t>
  </si>
  <si>
    <t>PADANG</t>
  </si>
  <si>
    <t>DAUD KARO KARO</t>
  </si>
  <si>
    <t>M. FARIDHA</t>
  </si>
  <si>
    <t>RAUZATUL M</t>
  </si>
  <si>
    <t>RADIT FATURRAHMAN</t>
  </si>
  <si>
    <t>PEKANBARU</t>
  </si>
  <si>
    <t>ADITYA SURYA</t>
  </si>
  <si>
    <t>RIZKI ADIFA</t>
  </si>
  <si>
    <t>M YASIR</t>
  </si>
  <si>
    <t>RAFIF MUHAMMAD</t>
  </si>
  <si>
    <t>SIGLI</t>
  </si>
  <si>
    <t>SAIF RABIUL</t>
  </si>
  <si>
    <t>M ADIT</t>
  </si>
  <si>
    <t>TAMIANG</t>
  </si>
  <si>
    <t>ARYA TARIGAN</t>
  </si>
  <si>
    <t>APRIAN NUR</t>
  </si>
  <si>
    <t>MURSIDIN</t>
  </si>
  <si>
    <t>M. ALTAF</t>
  </si>
  <si>
    <t>ACEH TENGAH</t>
  </si>
  <si>
    <t>NAZWAN ARIF</t>
  </si>
  <si>
    <t>T. M. RAFLI PANGERAN</t>
  </si>
  <si>
    <t>RADLUL FATA</t>
  </si>
  <si>
    <t>LANGKAT</t>
  </si>
  <si>
    <t>CASIS POLISI</t>
  </si>
  <si>
    <t>DEVRIZAL DWI SANDY</t>
  </si>
  <si>
    <t>ACEH SINGKIL</t>
  </si>
  <si>
    <t>KP.PAJAK</t>
  </si>
  <si>
    <t>M. ARIFCO</t>
  </si>
  <si>
    <t>BANJARMASIN</t>
  </si>
  <si>
    <t>59</t>
  </si>
  <si>
    <t>60</t>
  </si>
  <si>
    <t>61</t>
  </si>
  <si>
    <t>62</t>
  </si>
  <si>
    <t>63</t>
  </si>
  <si>
    <t>HAIKAL SUSILO</t>
  </si>
  <si>
    <t>JAKARTA</t>
  </si>
  <si>
    <t>M. RAJA</t>
  </si>
  <si>
    <t>ACEH UTARA</t>
  </si>
  <si>
    <t>SYAMAUN HARUN</t>
  </si>
  <si>
    <t>WAHYUDI</t>
  </si>
  <si>
    <t>HIDAYAT P</t>
  </si>
  <si>
    <t>DEDE SAPRIAN</t>
  </si>
  <si>
    <t>TATOK INDRAWAN</t>
  </si>
  <si>
    <t>BANYUWANGI</t>
  </si>
  <si>
    <t>ANDRIANI</t>
  </si>
  <si>
    <t>BAHRUL</t>
  </si>
  <si>
    <t>AENG BATU BATU</t>
  </si>
  <si>
    <t>MUH IIN</t>
  </si>
  <si>
    <t>BEKASI</t>
  </si>
  <si>
    <t>BAYU FERRY</t>
  </si>
  <si>
    <t>RUDI IRAWAN</t>
  </si>
  <si>
    <t>TASIKMALAYA</t>
  </si>
  <si>
    <t>DEDI SETYADI</t>
  </si>
  <si>
    <t>GROBOKAN</t>
  </si>
  <si>
    <t>NURDIN</t>
  </si>
  <si>
    <t>MAGELANG</t>
  </si>
  <si>
    <t>NURPAJRIANA</t>
  </si>
  <si>
    <t>JUNAEDI</t>
  </si>
  <si>
    <t>MIRNA ASTUTI</t>
  </si>
  <si>
    <t>ALDINO KURNIAWAN</t>
  </si>
  <si>
    <t>JAMBI</t>
  </si>
  <si>
    <t>M BARIQ FAJAR</t>
  </si>
  <si>
    <t>CILEGON</t>
  </si>
  <si>
    <t>M KAUSAR</t>
  </si>
  <si>
    <t>AGUSTUS 2026</t>
  </si>
  <si>
    <t>ZIKRI ABDILLAH</t>
  </si>
  <si>
    <t>AZ FAKHAN</t>
  </si>
  <si>
    <t>LIMAH</t>
  </si>
  <si>
    <t>FAYYAADH</t>
  </si>
  <si>
    <t>HABIB MAKHDARI</t>
  </si>
  <si>
    <t>MUSLIM LUBIS</t>
  </si>
  <si>
    <t>SINGKIL</t>
  </si>
  <si>
    <t>M. ATTARIQ</t>
  </si>
  <si>
    <t>ACEH TIMUR</t>
  </si>
  <si>
    <t>NAZZAN DAFFA</t>
  </si>
  <si>
    <t>RIZKI MUHAMMAD</t>
  </si>
  <si>
    <t>KASMANI</t>
  </si>
  <si>
    <t>NAUFAL HASAN</t>
  </si>
  <si>
    <t>BP2IP</t>
  </si>
  <si>
    <t>M. RADITYA</t>
  </si>
  <si>
    <t>64</t>
  </si>
  <si>
    <t>65</t>
  </si>
  <si>
    <t>RASYA</t>
  </si>
  <si>
    <t>66</t>
  </si>
  <si>
    <t>ALVINA</t>
  </si>
  <si>
    <t>SIMELUE</t>
  </si>
  <si>
    <t>MAULANA RIFKI</t>
  </si>
  <si>
    <t>67</t>
  </si>
  <si>
    <t>68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</si>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</sst>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1"/>
      <name val="Calibri"/>
      <family val="2"/>
    </font>
    <font>
      <sz val="6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8">
    <xf numFmtId="0" fontId="0" fillId="0" borderId="0"/>
    <xf numFmtId="0" fontId="1" fillId="0" borderId="0">
      <protection locked="0"/>
    </xf>
    <xf numFmtId="41" fontId="1" fillId="0" borderId="0">
      <alignment vertical="top"/>
      <protection locked="0"/>
    </xf>
    <xf numFmtId="9" fontId="1" fillId="0" borderId="0">
      <alignment vertical="top"/>
      <protection locked="0"/>
    </xf>
    <xf numFmtId="43" fontId="1" fillId="0" borderId="0">
      <alignment vertical="top"/>
      <protection locked="0"/>
    </xf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1" applyFont="1" applyAlignment="1" applyProtection="1">
      <alignment vertical="center"/>
    </xf>
    <xf numFmtId="0" fontId="4" fillId="0" borderId="0" xfId="1" applyFont="1" applyProtection="1"/>
    <xf numFmtId="1" fontId="4" fillId="0" borderId="0" xfId="1" applyNumberFormat="1" applyFont="1" applyProtection="1"/>
    <xf numFmtId="17" fontId="4" fillId="0" borderId="0" xfId="1" applyNumberFormat="1" applyFont="1" applyAlignment="1" applyProtection="1">
      <alignment vertical="center"/>
    </xf>
    <xf numFmtId="164" fontId="4" fillId="0" borderId="0" xfId="5" applyNumberFormat="1" applyFont="1" applyProtection="1"/>
    <xf numFmtId="3" fontId="4" fillId="0" borderId="0" xfId="1" applyNumberFormat="1" applyFont="1" applyProtection="1"/>
    <xf numFmtId="0" fontId="5" fillId="0" borderId="0" xfId="1" applyFont="1" applyAlignment="1" applyProtection="1">
      <alignment vertical="center"/>
    </xf>
    <xf numFmtId="0" fontId="5" fillId="0" borderId="0" xfId="1" applyFont="1" applyProtection="1"/>
    <xf numFmtId="0" fontId="6" fillId="0" borderId="0" xfId="1" applyFont="1" applyProtection="1"/>
    <xf numFmtId="164" fontId="5" fillId="0" borderId="0" xfId="5" applyNumberFormat="1" applyFont="1" applyProtection="1"/>
    <xf numFmtId="0" fontId="2" fillId="0" borderId="0" xfId="1" applyFont="1" applyProtection="1"/>
    <xf numFmtId="0" fontId="4" fillId="0" borderId="0" xfId="1" quotePrefix="1" applyFont="1" applyProtection="1"/>
    <xf numFmtId="0" fontId="4" fillId="0" borderId="1" xfId="1" applyFont="1" applyBorder="1" applyProtection="1"/>
    <xf numFmtId="1" fontId="7" fillId="2" borderId="1" xfId="1" applyNumberFormat="1" applyFont="1" applyFill="1" applyBorder="1" applyAlignment="1" applyProtection="1">
      <alignment horizontal="center"/>
    </xf>
    <xf numFmtId="164" fontId="7" fillId="0" borderId="1" xfId="5" applyNumberFormat="1" applyFont="1" applyFill="1" applyBorder="1" applyAlignment="1">
      <alignment horizontal="right"/>
    </xf>
    <xf numFmtId="164" fontId="7" fillId="0" borderId="1" xfId="5" applyNumberFormat="1" applyFont="1" applyBorder="1" applyAlignment="1">
      <alignment horizontal="right"/>
    </xf>
    <xf numFmtId="41" fontId="4" fillId="0" borderId="1" xfId="1" applyNumberFormat="1" applyFont="1" applyBorder="1" applyProtection="1"/>
    <xf numFmtId="164" fontId="7" fillId="0" borderId="1" xfId="5" applyNumberFormat="1" applyFont="1" applyFill="1" applyBorder="1" applyAlignment="1" applyProtection="1">
      <alignment horizontal="center"/>
    </xf>
    <xf numFmtId="0" fontId="6" fillId="0" borderId="1" xfId="1" applyFont="1" applyBorder="1" applyAlignment="1" applyProtection="1">
      <alignment horizontal="center" vertical="center"/>
    </xf>
    <xf numFmtId="0" fontId="2" fillId="0" borderId="1" xfId="1" quotePrefix="1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3" fontId="10" fillId="0" borderId="1" xfId="1" applyNumberFormat="1" applyFont="1" applyBorder="1" applyAlignment="1" applyProtection="1">
      <alignment horizontal="center"/>
    </xf>
    <xf numFmtId="9" fontId="10" fillId="0" borderId="1" xfId="3" applyFont="1" applyBorder="1" applyAlignment="1" applyProtection="1">
      <alignment horizontal="center"/>
    </xf>
    <xf numFmtId="9" fontId="10" fillId="0" borderId="1" xfId="3" applyFont="1" applyBorder="1" applyAlignment="1" applyProtection="1">
      <alignment horizontal="right"/>
    </xf>
    <xf numFmtId="3" fontId="10" fillId="0" borderId="1" xfId="4" applyNumberFormat="1" applyFont="1" applyBorder="1" applyAlignment="1" applyProtection="1">
      <alignment horizontal="center"/>
    </xf>
    <xf numFmtId="49" fontId="5" fillId="0" borderId="0" xfId="1" quotePrefix="1" applyNumberFormat="1" applyFont="1" applyAlignment="1" applyProtection="1">
      <alignment vertical="center"/>
    </xf>
    <xf numFmtId="0" fontId="4" fillId="0" borderId="1" xfId="1" quotePrefix="1" applyFont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left" vertical="center"/>
    </xf>
    <xf numFmtId="0" fontId="4" fillId="0" borderId="1" xfId="1" applyFont="1" applyBorder="1" applyAlignment="1" applyProtection="1">
      <alignment horizontal="center" vertical="center"/>
    </xf>
    <xf numFmtId="0" fontId="7" fillId="0" borderId="1" xfId="5" applyNumberFormat="1" applyFont="1" applyBorder="1" applyAlignment="1">
      <alignment horizontal="left"/>
    </xf>
    <xf numFmtId="0" fontId="4" fillId="0" borderId="1" xfId="1" applyFont="1" applyBorder="1" applyAlignment="1" applyProtection="1">
      <alignment horizontal="left"/>
    </xf>
    <xf numFmtId="0" fontId="7" fillId="0" borderId="1" xfId="1" quotePrefix="1" applyFont="1" applyBorder="1" applyAlignment="1" applyProtection="1">
      <alignment horizontal="center" vertical="center"/>
    </xf>
    <xf numFmtId="0" fontId="7" fillId="0" borderId="1" xfId="1" applyFont="1" applyBorder="1" applyAlignment="1" applyProtection="1">
      <alignment vertical="center"/>
    </xf>
    <xf numFmtId="0" fontId="7" fillId="0" borderId="1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1" applyFont="1" applyBorder="1" applyProtection="1"/>
    <xf numFmtId="0" fontId="7" fillId="3" borderId="1" xfId="1" quotePrefix="1" applyFont="1" applyFill="1" applyBorder="1" applyAlignment="1" applyProtection="1">
      <alignment horizontal="center" vertical="center"/>
    </xf>
    <xf numFmtId="0" fontId="7" fillId="3" borderId="1" xfId="1" applyFont="1" applyFill="1" applyBorder="1" applyAlignment="1" applyProtection="1">
      <alignment vertical="center"/>
    </xf>
    <xf numFmtId="0" fontId="4" fillId="3" borderId="1" xfId="1" applyFont="1" applyFill="1" applyBorder="1" applyAlignment="1" applyProtection="1">
      <alignment horizontal="center" vertical="center"/>
    </xf>
    <xf numFmtId="0" fontId="7" fillId="3" borderId="1" xfId="1" applyFont="1" applyFill="1" applyBorder="1" applyAlignment="1" applyProtection="1">
      <alignment horizontal="center" vertical="center"/>
    </xf>
    <xf numFmtId="164" fontId="7" fillId="3" borderId="1" xfId="5" applyNumberFormat="1" applyFont="1" applyFill="1" applyBorder="1" applyAlignment="1">
      <alignment horizontal="right"/>
    </xf>
    <xf numFmtId="0" fontId="4" fillId="3" borderId="1" xfId="1" applyFont="1" applyFill="1" applyBorder="1" applyAlignment="1" applyProtection="1">
      <alignment horizontal="left"/>
    </xf>
    <xf numFmtId="0" fontId="4" fillId="0" borderId="3" xfId="1" applyFont="1" applyBorder="1" applyAlignment="1" applyProtection="1">
      <alignment horizontal="left"/>
    </xf>
    <xf numFmtId="0" fontId="4" fillId="0" borderId="2" xfId="1" applyFont="1" applyBorder="1" applyAlignment="1" applyProtection="1">
      <alignment horizontal="left"/>
    </xf>
    <xf numFmtId="0" fontId="4" fillId="0" borderId="4" xfId="1" applyFont="1" applyBorder="1" applyAlignment="1" applyProtection="1">
      <alignment horizontal="left"/>
    </xf>
    <xf numFmtId="164" fontId="4" fillId="0" borderId="0" xfId="1" applyNumberFormat="1" applyFont="1" applyProtection="1"/>
    <xf numFmtId="41" fontId="4" fillId="0" borderId="3" xfId="1" applyNumberFormat="1" applyFont="1" applyBorder="1" applyProtection="1"/>
    <xf numFmtId="164" fontId="7" fillId="0" borderId="3" xfId="5" applyNumberFormat="1" applyFont="1" applyBorder="1" applyAlignment="1">
      <alignment horizontal="right"/>
    </xf>
    <xf numFmtId="3" fontId="10" fillId="0" borderId="4" xfId="1" applyNumberFormat="1" applyFont="1" applyBorder="1" applyAlignment="1" applyProtection="1">
      <alignment horizontal="center" vertical="center"/>
    </xf>
    <xf numFmtId="3" fontId="10" fillId="0" borderId="4" xfId="0" applyNumberFormat="1" applyFont="1" applyBorder="1" applyAlignment="1">
      <alignment horizontal="right"/>
    </xf>
    <xf numFmtId="0" fontId="7" fillId="0" borderId="4" xfId="1" applyFont="1" applyBorder="1" applyProtection="1"/>
    <xf numFmtId="164" fontId="7" fillId="4" borderId="1" xfId="5" applyNumberFormat="1" applyFont="1" applyFill="1" applyBorder="1" applyAlignment="1">
      <alignment horizontal="right"/>
    </xf>
    <xf numFmtId="0" fontId="6" fillId="0" borderId="1" xfId="1" applyFont="1" applyBorder="1" applyProtection="1"/>
    <xf numFmtId="41" fontId="4" fillId="0" borderId="2" xfId="1" applyNumberFormat="1" applyFont="1" applyBorder="1" applyProtection="1"/>
    <xf numFmtId="164" fontId="7" fillId="0" borderId="4" xfId="5" applyNumberFormat="1" applyFont="1" applyFill="1" applyBorder="1" applyAlignment="1">
      <alignment horizontal="right"/>
    </xf>
    <xf numFmtId="164" fontId="7" fillId="0" borderId="4" xfId="5" applyNumberFormat="1" applyFont="1" applyBorder="1" applyAlignment="1">
      <alignment horizontal="right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4" xfId="1" applyFont="1" applyFill="1" applyBorder="1" applyAlignment="1" applyProtection="1">
      <alignment horizontal="center" vertical="center"/>
    </xf>
    <xf numFmtId="0" fontId="10" fillId="0" borderId="7" xfId="1" applyFont="1" applyBorder="1" applyAlignment="1" applyProtection="1">
      <alignment horizontal="right" vertical="center"/>
    </xf>
    <xf numFmtId="0" fontId="10" fillId="0" borderId="8" xfId="1" applyFont="1" applyBorder="1" applyAlignment="1" applyProtection="1">
      <alignment horizontal="right" vertical="center"/>
    </xf>
    <xf numFmtId="0" fontId="10" fillId="0" borderId="9" xfId="1" applyFont="1" applyBorder="1" applyAlignment="1" applyProtection="1">
      <alignment horizontal="right" vertical="center"/>
    </xf>
    <xf numFmtId="0" fontId="10" fillId="0" borderId="2" xfId="1" applyFont="1" applyBorder="1" applyAlignment="1" applyProtection="1">
      <alignment horizontal="right" vertical="center"/>
    </xf>
    <xf numFmtId="0" fontId="10" fillId="0" borderId="5" xfId="1" applyFont="1" applyBorder="1" applyAlignment="1" applyProtection="1">
      <alignment horizontal="right" vertical="center"/>
    </xf>
    <xf numFmtId="0" fontId="10" fillId="0" borderId="6" xfId="1" applyFont="1" applyBorder="1" applyAlignment="1" applyProtection="1">
      <alignment horizontal="right" vertical="center"/>
    </xf>
    <xf numFmtId="1" fontId="7" fillId="2" borderId="3" xfId="1" applyNumberFormat="1" applyFont="1" applyFill="1" applyBorder="1" applyAlignment="1" applyProtection="1">
      <alignment horizontal="center" vertical="center"/>
    </xf>
    <xf numFmtId="1" fontId="7" fillId="2" borderId="4" xfId="1" applyNumberFormat="1" applyFont="1" applyFill="1" applyBorder="1" applyAlignment="1" applyProtection="1">
      <alignment horizontal="center" vertical="center"/>
    </xf>
  </cellXfs>
  <cellStyles count="8">
    <cellStyle name="Comma" xfId="5" builtinId="3"/>
    <cellStyle name="Comma [0] 23 2" xfId="2" xr:uid="{00000000-0005-0000-0000-000003000000}"/>
    <cellStyle name="Comma 8" xfId="4" xr:uid="{00000000-0005-0000-0000-000004000000}"/>
    <cellStyle name="Followed Hyperlink" xfId="7" builtinId="9" hidden="1"/>
    <cellStyle name="Hyperlink" xfId="6" builtinId="8" hidden="1"/>
    <cellStyle name="Normal" xfId="0" builtinId="0"/>
    <cellStyle name="Normal 25" xfId="1" xr:uid="{00000000-0005-0000-0000-000008000000}"/>
    <cellStyle name="Percent 4" xfId="3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F6B1-528E-4B49-989F-18007C737AB9}">
  <dimension ref="A1:AN88"/>
  <sheetViews>
    <sheetView tabSelected="1" zoomScaleNormal="150" zoomScaleSheetLayoutView="100" workbookViewId="0">
      <pane xSplit="6" ySplit="5" topLeftCell="G6" activePane="bottomRight" state="frozen"/>
      <selection pane="bottomLeft" activeCell="A50" sqref="A50"/>
      <selection pane="topRight" activeCell="G1" sqref="G1"/>
      <selection pane="bottomRight" activeCell="AM84" sqref="AM84"/>
    </sheetView>
  </sheetViews>
  <sheetFormatPr defaultColWidth="9" defaultRowHeight="14.25" x14ac:dyDescent="0.2"/>
  <cols>
    <col min="1" max="1" width="3.9453125" style="9" customWidth="1"/>
    <col min="2" max="2" width="8.75390625" style="9" bestFit="1" customWidth="1"/>
    <col min="3" max="3" width="17.5078125" style="9" bestFit="1" customWidth="1"/>
    <col min="4" max="4" width="12.20703125" style="9" bestFit="1" customWidth="1"/>
    <col min="5" max="5" width="14.1796875" style="9" bestFit="1" customWidth="1"/>
    <col min="6" max="6" width="14.671875" style="9" bestFit="1" customWidth="1"/>
    <col min="7" max="27" width="10.7265625" style="2" hidden="1" customWidth="1"/>
    <col min="28" max="28" width="10.7265625" style="2" customWidth="1"/>
    <col min="29" max="38" width="10.7265625" style="2" hidden="1" customWidth="1"/>
    <col min="39" max="39" width="8.75390625" style="9" customWidth="1"/>
    <col min="40" max="16384" width="9" style="9"/>
  </cols>
  <sheetData>
    <row r="1" spans="1:40" x14ac:dyDescent="0.2">
      <c r="A1" s="7" t="s">
        <v>2</v>
      </c>
      <c r="B1" s="1"/>
      <c r="C1" s="1"/>
      <c r="D1" s="1"/>
      <c r="E1" s="1"/>
      <c r="F1" s="1"/>
      <c r="AM1" s="2"/>
      <c r="AN1" s="2"/>
    </row>
    <row r="2" spans="1:40" x14ac:dyDescent="0.2">
      <c r="A2" s="7" t="s">
        <v>69</v>
      </c>
      <c r="B2" s="1"/>
      <c r="C2" s="1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2"/>
      <c r="AN2" s="2"/>
    </row>
    <row r="3" spans="1:40" x14ac:dyDescent="0.2">
      <c r="A3" s="28" t="s">
        <v>190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3"/>
      <c r="AM3" s="2"/>
      <c r="AN3" s="2"/>
    </row>
    <row r="4" spans="1:40" x14ac:dyDescent="0.2">
      <c r="A4" s="59" t="s">
        <v>0</v>
      </c>
      <c r="B4" s="59" t="s">
        <v>113</v>
      </c>
      <c r="C4" s="59" t="s">
        <v>114</v>
      </c>
      <c r="D4" s="59" t="s">
        <v>63</v>
      </c>
      <c r="E4" s="59" t="s">
        <v>71</v>
      </c>
      <c r="F4" s="59" t="s">
        <v>70</v>
      </c>
      <c r="G4" s="14">
        <v>1</v>
      </c>
      <c r="H4" s="14">
        <f>G4+1</f>
        <v>2</v>
      </c>
      <c r="I4" s="14">
        <f t="shared" ref="I4:AI4" si="0">H4+1</f>
        <v>3</v>
      </c>
      <c r="J4" s="14">
        <f t="shared" si="0"/>
        <v>4</v>
      </c>
      <c r="K4" s="14">
        <f t="shared" si="0"/>
        <v>5</v>
      </c>
      <c r="L4" s="14">
        <f t="shared" si="0"/>
        <v>6</v>
      </c>
      <c r="M4" s="14">
        <f t="shared" si="0"/>
        <v>7</v>
      </c>
      <c r="N4" s="14">
        <f t="shared" si="0"/>
        <v>8</v>
      </c>
      <c r="O4" s="14">
        <f t="shared" si="0"/>
        <v>9</v>
      </c>
      <c r="P4" s="14">
        <f t="shared" si="0"/>
        <v>10</v>
      </c>
      <c r="Q4" s="14">
        <f t="shared" si="0"/>
        <v>11</v>
      </c>
      <c r="R4" s="14">
        <f t="shared" si="0"/>
        <v>12</v>
      </c>
      <c r="S4" s="14">
        <f t="shared" si="0"/>
        <v>13</v>
      </c>
      <c r="T4" s="14">
        <f t="shared" si="0"/>
        <v>14</v>
      </c>
      <c r="U4" s="14">
        <f t="shared" si="0"/>
        <v>15</v>
      </c>
      <c r="V4" s="14">
        <f t="shared" si="0"/>
        <v>16</v>
      </c>
      <c r="W4" s="14">
        <f t="shared" si="0"/>
        <v>17</v>
      </c>
      <c r="X4" s="14">
        <f t="shared" si="0"/>
        <v>18</v>
      </c>
      <c r="Y4" s="14">
        <f t="shared" si="0"/>
        <v>19</v>
      </c>
      <c r="Z4" s="14">
        <f t="shared" si="0"/>
        <v>20</v>
      </c>
      <c r="AA4" s="14">
        <f>Z4+1</f>
        <v>21</v>
      </c>
      <c r="AB4" s="14">
        <f>AA4+1</f>
        <v>22</v>
      </c>
      <c r="AC4" s="14">
        <f t="shared" si="0"/>
        <v>23</v>
      </c>
      <c r="AD4" s="14">
        <f t="shared" si="0"/>
        <v>24</v>
      </c>
      <c r="AE4" s="14">
        <f t="shared" si="0"/>
        <v>25</v>
      </c>
      <c r="AF4" s="14">
        <f t="shared" si="0"/>
        <v>26</v>
      </c>
      <c r="AG4" s="14">
        <f t="shared" si="0"/>
        <v>27</v>
      </c>
      <c r="AH4" s="14">
        <f t="shared" si="0"/>
        <v>28</v>
      </c>
      <c r="AI4" s="14">
        <f t="shared" si="0"/>
        <v>29</v>
      </c>
      <c r="AJ4" s="14">
        <f>AI4+1</f>
        <v>30</v>
      </c>
      <c r="AK4" s="14">
        <f>AJ4+1</f>
        <v>31</v>
      </c>
      <c r="AL4" s="67" t="s">
        <v>1</v>
      </c>
      <c r="AM4" s="59" t="s">
        <v>96</v>
      </c>
      <c r="AN4" s="59" t="s">
        <v>102</v>
      </c>
    </row>
    <row r="5" spans="1:40" x14ac:dyDescent="0.2">
      <c r="A5" s="60"/>
      <c r="B5" s="60"/>
      <c r="C5" s="60"/>
      <c r="D5" s="60"/>
      <c r="E5" s="60"/>
      <c r="F5" s="60"/>
      <c r="G5" s="14" t="s">
        <v>105</v>
      </c>
      <c r="H5" s="14" t="s">
        <v>106</v>
      </c>
      <c r="I5" s="14" t="s">
        <v>107</v>
      </c>
      <c r="J5" s="14" t="s">
        <v>108</v>
      </c>
      <c r="K5" s="14" t="s">
        <v>109</v>
      </c>
      <c r="L5" s="14" t="s">
        <v>110</v>
      </c>
      <c r="M5" s="14" t="s">
        <v>104</v>
      </c>
      <c r="N5" s="14" t="s">
        <v>105</v>
      </c>
      <c r="O5" s="14" t="s">
        <v>106</v>
      </c>
      <c r="P5" s="14" t="s">
        <v>107</v>
      </c>
      <c r="Q5" s="14" t="s">
        <v>108</v>
      </c>
      <c r="R5" s="14" t="s">
        <v>109</v>
      </c>
      <c r="S5" s="14" t="s">
        <v>110</v>
      </c>
      <c r="T5" s="14" t="s">
        <v>104</v>
      </c>
      <c r="U5" s="14" t="s">
        <v>105</v>
      </c>
      <c r="V5" s="14" t="s">
        <v>106</v>
      </c>
      <c r="W5" s="14" t="s">
        <v>107</v>
      </c>
      <c r="X5" s="14" t="s">
        <v>108</v>
      </c>
      <c r="Y5" s="14" t="s">
        <v>109</v>
      </c>
      <c r="Z5" s="14" t="s">
        <v>110</v>
      </c>
      <c r="AA5" s="14" t="s">
        <v>104</v>
      </c>
      <c r="AB5" s="14" t="s">
        <v>105</v>
      </c>
      <c r="AC5" s="14" t="s">
        <v>106</v>
      </c>
      <c r="AD5" s="14" t="s">
        <v>107</v>
      </c>
      <c r="AE5" s="14" t="s">
        <v>108</v>
      </c>
      <c r="AF5" s="14" t="s">
        <v>109</v>
      </c>
      <c r="AG5" s="14" t="s">
        <v>110</v>
      </c>
      <c r="AH5" s="14" t="s">
        <v>104</v>
      </c>
      <c r="AI5" s="14" t="s">
        <v>105</v>
      </c>
      <c r="AJ5" s="14" t="s">
        <v>106</v>
      </c>
      <c r="AK5" s="14" t="s">
        <v>107</v>
      </c>
      <c r="AL5" s="68"/>
      <c r="AM5" s="60"/>
      <c r="AN5" s="60"/>
    </row>
    <row r="6" spans="1:40" x14ac:dyDescent="0.2">
      <c r="A6" s="29" t="s">
        <v>76</v>
      </c>
      <c r="B6" s="34" t="s">
        <v>3</v>
      </c>
      <c r="C6" s="35" t="s">
        <v>66</v>
      </c>
      <c r="D6" s="31" t="s">
        <v>64</v>
      </c>
      <c r="E6" s="36" t="s">
        <v>73</v>
      </c>
      <c r="F6" s="36" t="s">
        <v>74</v>
      </c>
      <c r="G6" s="16">
        <v>37634.408602150543</v>
      </c>
      <c r="H6" s="16">
        <v>37634.408602150543</v>
      </c>
      <c r="I6" s="16">
        <v>37634.408602150543</v>
      </c>
      <c r="J6" s="16">
        <v>37634.408602150543</v>
      </c>
      <c r="K6" s="16">
        <v>37634.408602150543</v>
      </c>
      <c r="L6" s="16">
        <v>37634.408602150543</v>
      </c>
      <c r="M6" s="16">
        <v>37634.408602150543</v>
      </c>
      <c r="N6" s="16">
        <v>37634.408602150543</v>
      </c>
      <c r="O6" s="16">
        <v>37634.408602150543</v>
      </c>
      <c r="P6" s="16">
        <v>37634.408602150543</v>
      </c>
      <c r="Q6" s="16">
        <v>37634.408602150543</v>
      </c>
      <c r="R6" s="16">
        <v>37634.408602150543</v>
      </c>
      <c r="S6" s="16">
        <v>37634.408602150543</v>
      </c>
      <c r="T6" s="16">
        <v>37634.408602150543</v>
      </c>
      <c r="U6" s="16">
        <v>37634.408602150543</v>
      </c>
      <c r="V6" s="16">
        <v>37634.408602150543</v>
      </c>
      <c r="W6" s="16">
        <v>37634.408602150543</v>
      </c>
      <c r="X6" s="16">
        <v>37634.408602150543</v>
      </c>
      <c r="Y6" s="16">
        <v>37634.408602150543</v>
      </c>
      <c r="Z6" s="16">
        <v>37634.408602150543</v>
      </c>
      <c r="AA6" s="16">
        <v>37634.408602150543</v>
      </c>
      <c r="AB6" s="16">
        <v>37634.408602150543</v>
      </c>
      <c r="AC6" s="16">
        <v>37634.408602150543</v>
      </c>
      <c r="AD6" s="16">
        <v>37634.408602150543</v>
      </c>
      <c r="AE6" s="16">
        <v>37634.408602150543</v>
      </c>
      <c r="AF6" s="16">
        <v>37634.408602150543</v>
      </c>
      <c r="AG6" s="16">
        <v>37634.408602150543</v>
      </c>
      <c r="AH6" s="16">
        <v>37634.408602150543</v>
      </c>
      <c r="AI6" s="16">
        <v>37634.408602150543</v>
      </c>
      <c r="AJ6" s="16">
        <v>37634.408602150543</v>
      </c>
      <c r="AK6" s="16">
        <v>37634.408602150543</v>
      </c>
      <c r="AL6" s="16">
        <f>SUM(G6:AK6)</f>
        <v>1166666.6666666667</v>
      </c>
      <c r="AM6" s="33" t="s">
        <v>100</v>
      </c>
      <c r="AN6" s="33" t="s">
        <v>103</v>
      </c>
    </row>
    <row r="7" spans="1:40" x14ac:dyDescent="0.2">
      <c r="A7" s="29" t="s">
        <v>77</v>
      </c>
      <c r="B7" s="34" t="s">
        <v>4</v>
      </c>
      <c r="C7" s="30" t="s">
        <v>143</v>
      </c>
      <c r="D7" s="31" t="s">
        <v>64</v>
      </c>
      <c r="E7" s="31" t="s">
        <v>73</v>
      </c>
      <c r="F7" s="31" t="s">
        <v>74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v>37634.408602150543</v>
      </c>
      <c r="X7" s="16">
        <v>37634.408602150543</v>
      </c>
      <c r="Y7" s="16">
        <v>37634.408602150543</v>
      </c>
      <c r="Z7" s="16">
        <v>37634.408602150543</v>
      </c>
      <c r="AA7" s="16">
        <v>37634.408602150543</v>
      </c>
      <c r="AB7" s="16">
        <v>37634.408602150543</v>
      </c>
      <c r="AC7" s="16">
        <v>37634.408602150543</v>
      </c>
      <c r="AD7" s="16">
        <v>37634.408602150543</v>
      </c>
      <c r="AE7" s="16">
        <v>37634.408602150543</v>
      </c>
      <c r="AF7" s="16">
        <v>37634.408602150543</v>
      </c>
      <c r="AG7" s="16">
        <v>37634.408602150543</v>
      </c>
      <c r="AH7" s="16">
        <v>37634.408602150543</v>
      </c>
      <c r="AI7" s="16">
        <v>37634.408602150543</v>
      </c>
      <c r="AJ7" s="16">
        <v>37634.408602150543</v>
      </c>
      <c r="AK7" s="16">
        <v>37634.408602150543</v>
      </c>
      <c r="AL7" s="16">
        <f t="shared" ref="AL7" si="1">SUM(G7:AK7)</f>
        <v>564516.12903225818</v>
      </c>
      <c r="AM7" s="33" t="s">
        <v>99</v>
      </c>
      <c r="AN7" s="33" t="s">
        <v>103</v>
      </c>
    </row>
    <row r="8" spans="1:40" x14ac:dyDescent="0.2">
      <c r="A8" s="29" t="s">
        <v>78</v>
      </c>
      <c r="B8" s="29" t="s">
        <v>5</v>
      </c>
      <c r="C8" s="30" t="s">
        <v>127</v>
      </c>
      <c r="D8" s="31" t="s">
        <v>64</v>
      </c>
      <c r="E8" s="31" t="s">
        <v>73</v>
      </c>
      <c r="F8" s="31" t="s">
        <v>72</v>
      </c>
      <c r="G8" s="16">
        <v>37634.408602150543</v>
      </c>
      <c r="H8" s="16">
        <v>37634.408602150543</v>
      </c>
      <c r="I8" s="16">
        <v>37634.408602150543</v>
      </c>
      <c r="J8" s="16">
        <v>37634.408602150543</v>
      </c>
      <c r="K8" s="16">
        <v>37634.408602150543</v>
      </c>
      <c r="L8" s="16">
        <v>37634.408602150543</v>
      </c>
      <c r="M8" s="16">
        <v>37634.408602150543</v>
      </c>
      <c r="N8" s="16">
        <v>37634.408602150543</v>
      </c>
      <c r="O8" s="16">
        <v>37634.408602150543</v>
      </c>
      <c r="P8" s="16">
        <v>37634.408602150543</v>
      </c>
      <c r="Q8" s="16">
        <v>37634.408602150543</v>
      </c>
      <c r="R8" s="16">
        <v>37634.408602150543</v>
      </c>
      <c r="S8" s="16">
        <v>37634.408602150543</v>
      </c>
      <c r="T8" s="16">
        <v>37634.408602150543</v>
      </c>
      <c r="U8" s="16">
        <v>37634.408602150543</v>
      </c>
      <c r="V8" s="16">
        <v>37634.408602150543</v>
      </c>
      <c r="W8" s="16">
        <v>37634.408602150543</v>
      </c>
      <c r="X8" s="16">
        <v>37634.408602150543</v>
      </c>
      <c r="Y8" s="16">
        <v>37634.408602150543</v>
      </c>
      <c r="Z8" s="16">
        <v>37634.408602150543</v>
      </c>
      <c r="AA8" s="16">
        <v>37634.408602150543</v>
      </c>
      <c r="AB8" s="16">
        <v>37634.408602150543</v>
      </c>
      <c r="AC8" s="16">
        <v>37634.408602150543</v>
      </c>
      <c r="AD8" s="16">
        <v>37634.408602150543</v>
      </c>
      <c r="AE8" s="16">
        <v>37634.408602150543</v>
      </c>
      <c r="AF8" s="16">
        <v>37634.408602150543</v>
      </c>
      <c r="AG8" s="16">
        <v>37634.408602150543</v>
      </c>
      <c r="AH8" s="16">
        <v>37634.408602150543</v>
      </c>
      <c r="AI8" s="16">
        <v>37634.408602150543</v>
      </c>
      <c r="AJ8" s="16">
        <v>37634.408602150543</v>
      </c>
      <c r="AK8" s="16">
        <v>37634.408602150543</v>
      </c>
      <c r="AL8" s="16">
        <f t="shared" ref="AL8:AL74" si="2">SUM(G8:AK8)</f>
        <v>1166666.6666666667</v>
      </c>
      <c r="AM8" s="33" t="s">
        <v>100</v>
      </c>
      <c r="AN8" s="13" t="s">
        <v>103</v>
      </c>
    </row>
    <row r="9" spans="1:40" x14ac:dyDescent="0.2">
      <c r="A9" s="29" t="s">
        <v>79</v>
      </c>
      <c r="B9" s="29" t="s">
        <v>6</v>
      </c>
      <c r="C9" s="35" t="s">
        <v>128</v>
      </c>
      <c r="D9" s="31" t="s">
        <v>64</v>
      </c>
      <c r="E9" s="36" t="s">
        <v>73</v>
      </c>
      <c r="F9" s="36" t="s">
        <v>125</v>
      </c>
      <c r="G9" s="15">
        <v>37634.408602150543</v>
      </c>
      <c r="H9" s="15">
        <v>37634.408602150543</v>
      </c>
      <c r="I9" s="15">
        <v>37634.408602150543</v>
      </c>
      <c r="J9" s="15">
        <v>37634.408602150543</v>
      </c>
      <c r="K9" s="15">
        <v>37634.408602150543</v>
      </c>
      <c r="L9" s="15">
        <v>37634.408602150543</v>
      </c>
      <c r="M9" s="15">
        <v>37634.408602150543</v>
      </c>
      <c r="N9" s="15">
        <v>37634.408602150543</v>
      </c>
      <c r="O9" s="15">
        <v>37634.408602150543</v>
      </c>
      <c r="P9" s="15">
        <v>37634.408602150543</v>
      </c>
      <c r="Q9" s="15">
        <v>37634.408602150543</v>
      </c>
      <c r="R9" s="15">
        <v>37634.408602150543</v>
      </c>
      <c r="S9" s="15">
        <v>37634.408602150543</v>
      </c>
      <c r="T9" s="15">
        <v>37634.408602150543</v>
      </c>
      <c r="U9" s="15">
        <v>37634.408602150543</v>
      </c>
      <c r="V9" s="15">
        <v>37634.408602150543</v>
      </c>
      <c r="W9" s="15">
        <v>37634.408602150543</v>
      </c>
      <c r="X9" s="15">
        <v>37634.408602150543</v>
      </c>
      <c r="Y9" s="15">
        <v>37634.408602150543</v>
      </c>
      <c r="Z9" s="15">
        <v>37634.408602150543</v>
      </c>
      <c r="AA9" s="15">
        <v>37634.408602150543</v>
      </c>
      <c r="AB9" s="15">
        <v>37634.408602150543</v>
      </c>
      <c r="AC9" s="15">
        <v>37634.408602150543</v>
      </c>
      <c r="AD9" s="15">
        <v>37634.408602150543</v>
      </c>
      <c r="AE9" s="15">
        <v>37634.408602150543</v>
      </c>
      <c r="AF9" s="15">
        <v>37634.408602150543</v>
      </c>
      <c r="AG9" s="15">
        <v>37634.408602150543</v>
      </c>
      <c r="AH9" s="15">
        <v>37634.408602150543</v>
      </c>
      <c r="AI9" s="15">
        <v>37634.408602150543</v>
      </c>
      <c r="AJ9" s="15">
        <v>37634.408602150543</v>
      </c>
      <c r="AK9" s="16">
        <v>37634.408602150543</v>
      </c>
      <c r="AL9" s="16">
        <f>SUM(G9:AK9)</f>
        <v>1166666.6666666667</v>
      </c>
      <c r="AM9" s="33" t="s">
        <v>100</v>
      </c>
      <c r="AN9" s="33" t="s">
        <v>103</v>
      </c>
    </row>
    <row r="10" spans="1:40" ht="15" customHeight="1" x14ac:dyDescent="0.2">
      <c r="A10" s="29" t="s">
        <v>80</v>
      </c>
      <c r="B10" s="34" t="s">
        <v>7</v>
      </c>
      <c r="C10" s="35" t="s">
        <v>65</v>
      </c>
      <c r="D10" s="31" t="s">
        <v>64</v>
      </c>
      <c r="E10" s="36" t="s">
        <v>73</v>
      </c>
      <c r="F10" s="36" t="s">
        <v>72</v>
      </c>
      <c r="G10" s="15">
        <v>37634.408602150499</v>
      </c>
      <c r="H10" s="15">
        <v>37634.408602150543</v>
      </c>
      <c r="I10" s="15">
        <v>37634.408602150543</v>
      </c>
      <c r="J10" s="15">
        <v>37634.408602150543</v>
      </c>
      <c r="K10" s="15">
        <v>37634.408602150543</v>
      </c>
      <c r="L10" s="15">
        <v>37634.408602150543</v>
      </c>
      <c r="M10" s="15">
        <v>37634.408602150543</v>
      </c>
      <c r="N10" s="15">
        <v>37634.408602150543</v>
      </c>
      <c r="O10" s="15">
        <v>37634.408602150543</v>
      </c>
      <c r="P10" s="15">
        <v>37634.408602150543</v>
      </c>
      <c r="Q10" s="15">
        <v>37634.408602150543</v>
      </c>
      <c r="R10" s="15">
        <v>37634.408602150543</v>
      </c>
      <c r="S10" s="15">
        <v>37634.408602150543</v>
      </c>
      <c r="T10" s="15">
        <v>37634.408602150543</v>
      </c>
      <c r="U10" s="15">
        <v>37634.408602150543</v>
      </c>
      <c r="V10" s="15">
        <v>37634.408602150543</v>
      </c>
      <c r="W10" s="15">
        <v>37634.408602150543</v>
      </c>
      <c r="X10" s="15">
        <v>37634.408602150543</v>
      </c>
      <c r="Y10" s="15">
        <v>37634.408602150543</v>
      </c>
      <c r="Z10" s="15">
        <v>37634.408602150543</v>
      </c>
      <c r="AA10" s="15">
        <v>37634.408602150543</v>
      </c>
      <c r="AB10" s="15">
        <v>37634.408602150543</v>
      </c>
      <c r="AC10" s="15">
        <v>37634.408602150543</v>
      </c>
      <c r="AD10" s="15">
        <v>37634.408602150543</v>
      </c>
      <c r="AE10" s="15">
        <v>37634.408602150543</v>
      </c>
      <c r="AF10" s="15">
        <v>37634.408602150543</v>
      </c>
      <c r="AG10" s="15">
        <v>37634.408602150543</v>
      </c>
      <c r="AH10" s="15">
        <v>37634.408602150543</v>
      </c>
      <c r="AI10" s="15">
        <v>37634.408602150543</v>
      </c>
      <c r="AJ10" s="15">
        <v>37634.408602150543</v>
      </c>
      <c r="AK10" s="15">
        <v>37634.408602150543</v>
      </c>
      <c r="AL10" s="16">
        <f t="shared" si="2"/>
        <v>1166666.6666666667</v>
      </c>
      <c r="AM10" s="33" t="s">
        <v>99</v>
      </c>
      <c r="AN10" s="33" t="s">
        <v>103</v>
      </c>
    </row>
    <row r="11" spans="1:40" ht="15" customHeight="1" x14ac:dyDescent="0.2">
      <c r="A11" s="29" t="s">
        <v>81</v>
      </c>
      <c r="B11" s="34" t="s">
        <v>8</v>
      </c>
      <c r="C11" s="35" t="s">
        <v>121</v>
      </c>
      <c r="D11" s="31" t="s">
        <v>64</v>
      </c>
      <c r="E11" s="36" t="s">
        <v>73</v>
      </c>
      <c r="F11" s="36" t="s">
        <v>115</v>
      </c>
      <c r="G11" s="15">
        <v>37634.408602150499</v>
      </c>
      <c r="H11" s="15">
        <v>37634.408602150499</v>
      </c>
      <c r="I11" s="15">
        <v>37634.408602150499</v>
      </c>
      <c r="J11" s="15">
        <v>37634.408602150499</v>
      </c>
      <c r="K11" s="15">
        <v>37634.408602150499</v>
      </c>
      <c r="L11" s="15">
        <v>37634.408602150499</v>
      </c>
      <c r="M11" s="15">
        <v>37634.408602150499</v>
      </c>
      <c r="N11" s="15">
        <v>37634.408602150499</v>
      </c>
      <c r="O11" s="15">
        <v>37634.408602150499</v>
      </c>
      <c r="P11" s="15">
        <v>37634.408602150543</v>
      </c>
      <c r="Q11" s="15">
        <v>37634.408602150543</v>
      </c>
      <c r="R11" s="15">
        <v>37634.408602150543</v>
      </c>
      <c r="S11" s="15">
        <v>37634.408602150543</v>
      </c>
      <c r="T11" s="15">
        <v>37634.408602150543</v>
      </c>
      <c r="U11" s="15">
        <v>37634.408602150543</v>
      </c>
      <c r="V11" s="15">
        <v>37634.408602150543</v>
      </c>
      <c r="W11" s="15">
        <v>37634.408602150543</v>
      </c>
      <c r="X11" s="15">
        <v>37634.408602150543</v>
      </c>
      <c r="Y11" s="15">
        <v>37634.408602150543</v>
      </c>
      <c r="Z11" s="15">
        <v>37634.408602150543</v>
      </c>
      <c r="AA11" s="15">
        <v>37634.408602150543</v>
      </c>
      <c r="AB11" s="15">
        <v>37634.408602150543</v>
      </c>
      <c r="AC11" s="15">
        <v>37634.408602150543</v>
      </c>
      <c r="AD11" s="15">
        <v>37634.408602150543</v>
      </c>
      <c r="AE11" s="15">
        <v>37634.408602150543</v>
      </c>
      <c r="AF11" s="15">
        <v>37634.408602150543</v>
      </c>
      <c r="AG11" s="15">
        <v>37634.408602150543</v>
      </c>
      <c r="AH11" s="15">
        <v>37634.408602150543</v>
      </c>
      <c r="AI11" s="15">
        <v>37634.408602150543</v>
      </c>
      <c r="AJ11" s="15">
        <v>37634.408602150543</v>
      </c>
      <c r="AK11" s="15">
        <v>37634.408602150543</v>
      </c>
      <c r="AL11" s="16">
        <f t="shared" si="2"/>
        <v>1166666.6666666663</v>
      </c>
      <c r="AM11" s="33" t="s">
        <v>99</v>
      </c>
      <c r="AN11" s="33" t="s">
        <v>103</v>
      </c>
    </row>
    <row r="12" spans="1:40" ht="15" customHeight="1" x14ac:dyDescent="0.2">
      <c r="A12" s="29" t="s">
        <v>82</v>
      </c>
      <c r="B12" s="34" t="s">
        <v>9</v>
      </c>
      <c r="C12" s="35" t="s">
        <v>189</v>
      </c>
      <c r="D12" s="31" t="s">
        <v>64</v>
      </c>
      <c r="E12" s="36" t="s">
        <v>73</v>
      </c>
      <c r="F12" s="36" t="s">
        <v>120</v>
      </c>
      <c r="G12" s="17">
        <v>43548</v>
      </c>
      <c r="H12" s="17">
        <v>43548</v>
      </c>
      <c r="I12" s="17">
        <v>43548</v>
      </c>
      <c r="J12" s="17">
        <v>43548</v>
      </c>
      <c r="K12" s="17">
        <v>43548</v>
      </c>
      <c r="L12" s="17">
        <v>43548</v>
      </c>
      <c r="M12" s="17">
        <v>43548</v>
      </c>
      <c r="N12" s="17">
        <v>43548</v>
      </c>
      <c r="O12" s="17">
        <v>43548</v>
      </c>
      <c r="P12" s="17">
        <v>43548</v>
      </c>
      <c r="Q12" s="17">
        <v>43548</v>
      </c>
      <c r="R12" s="17">
        <v>43548</v>
      </c>
      <c r="S12" s="17">
        <v>43548</v>
      </c>
      <c r="T12" s="17">
        <v>43548</v>
      </c>
      <c r="U12" s="17">
        <v>43548</v>
      </c>
      <c r="V12" s="17">
        <v>43548</v>
      </c>
      <c r="W12" s="17">
        <v>43548</v>
      </c>
      <c r="X12" s="49">
        <v>43548</v>
      </c>
      <c r="Y12" s="49">
        <v>43548</v>
      </c>
      <c r="Z12" s="49">
        <v>43548</v>
      </c>
      <c r="AA12" s="49">
        <v>43548</v>
      </c>
      <c r="AB12" s="49">
        <v>43548</v>
      </c>
      <c r="AC12" s="49">
        <v>43548</v>
      </c>
      <c r="AD12" s="49"/>
      <c r="AE12" s="49"/>
      <c r="AF12" s="49"/>
      <c r="AG12" s="49"/>
      <c r="AH12" s="49"/>
      <c r="AI12" s="49"/>
      <c r="AJ12" s="49"/>
      <c r="AK12" s="49"/>
      <c r="AL12" s="50">
        <f t="shared" si="2"/>
        <v>1001604</v>
      </c>
      <c r="AM12" s="45" t="s">
        <v>92</v>
      </c>
      <c r="AN12" s="45" t="s">
        <v>103</v>
      </c>
    </row>
    <row r="13" spans="1:40" x14ac:dyDescent="0.2">
      <c r="A13" s="29" t="s">
        <v>83</v>
      </c>
      <c r="B13" s="34" t="s">
        <v>10</v>
      </c>
      <c r="C13" s="35" t="s">
        <v>187</v>
      </c>
      <c r="D13" s="31" t="s">
        <v>64</v>
      </c>
      <c r="E13" s="36" t="s">
        <v>73</v>
      </c>
      <c r="F13" s="36" t="s">
        <v>188</v>
      </c>
      <c r="G13" s="17">
        <v>43548</v>
      </c>
      <c r="H13" s="17">
        <v>43548</v>
      </c>
      <c r="I13" s="17">
        <v>43548</v>
      </c>
      <c r="J13" s="17">
        <v>43548</v>
      </c>
      <c r="K13" s="17">
        <v>43548</v>
      </c>
      <c r="L13" s="17">
        <v>43548</v>
      </c>
      <c r="M13" s="17">
        <v>43548</v>
      </c>
      <c r="N13" s="17">
        <v>43548</v>
      </c>
      <c r="O13" s="17">
        <v>43548</v>
      </c>
      <c r="P13" s="17">
        <v>43548</v>
      </c>
      <c r="Q13" s="17">
        <v>43548</v>
      </c>
      <c r="R13" s="17">
        <v>43548</v>
      </c>
      <c r="S13" s="17">
        <v>43548</v>
      </c>
      <c r="T13" s="17">
        <v>43548</v>
      </c>
      <c r="U13" s="17">
        <v>43548</v>
      </c>
      <c r="V13" s="17"/>
      <c r="W13" s="56"/>
      <c r="X13" s="13"/>
      <c r="Y13" s="13"/>
      <c r="Z13" s="13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16">
        <f t="shared" si="2"/>
        <v>653220</v>
      </c>
      <c r="AM13" s="33" t="s">
        <v>92</v>
      </c>
      <c r="AN13" s="33" t="s">
        <v>118</v>
      </c>
    </row>
    <row r="14" spans="1:40" x14ac:dyDescent="0.2">
      <c r="A14" s="29" t="s">
        <v>84</v>
      </c>
      <c r="B14" s="34" t="s">
        <v>10</v>
      </c>
      <c r="C14" s="35" t="s">
        <v>208</v>
      </c>
      <c r="D14" s="31" t="s">
        <v>64</v>
      </c>
      <c r="E14" s="36" t="s">
        <v>73</v>
      </c>
      <c r="F14" s="36" t="s">
        <v>94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57">
        <v>37634.408602150543</v>
      </c>
      <c r="Y14" s="57">
        <v>37634.408602150543</v>
      </c>
      <c r="Z14" s="57">
        <v>37634.408602150543</v>
      </c>
      <c r="AA14" s="57">
        <v>37634.408602150543</v>
      </c>
      <c r="AB14" s="57">
        <v>37634.408602150543</v>
      </c>
      <c r="AC14" s="57">
        <v>37634.408602150543</v>
      </c>
      <c r="AD14" s="57">
        <v>37634.408602150543</v>
      </c>
      <c r="AE14" s="57">
        <v>37634.408602150543</v>
      </c>
      <c r="AF14" s="57">
        <v>37634.408602150543</v>
      </c>
      <c r="AG14" s="57">
        <v>37634.408602150543</v>
      </c>
      <c r="AH14" s="57">
        <v>37634.408602150543</v>
      </c>
      <c r="AI14" s="57">
        <v>37634.408602150543</v>
      </c>
      <c r="AJ14" s="57">
        <v>37634.408602150543</v>
      </c>
      <c r="AK14" s="57">
        <v>37634.408602150543</v>
      </c>
      <c r="AL14" s="58">
        <f>SUM(G14:AK14)</f>
        <v>526881.72043010767</v>
      </c>
      <c r="AM14" s="47" t="s">
        <v>99</v>
      </c>
      <c r="AN14" s="47" t="s">
        <v>103</v>
      </c>
    </row>
    <row r="15" spans="1:40" x14ac:dyDescent="0.2">
      <c r="A15" s="29" t="s">
        <v>12</v>
      </c>
      <c r="B15" s="34" t="s">
        <v>11</v>
      </c>
      <c r="C15" s="35" t="s">
        <v>61</v>
      </c>
      <c r="D15" s="31" t="s">
        <v>64</v>
      </c>
      <c r="E15" s="36" t="s">
        <v>73</v>
      </c>
      <c r="F15" s="36" t="s">
        <v>72</v>
      </c>
      <c r="G15" s="16">
        <v>37634.408602150543</v>
      </c>
      <c r="H15" s="16">
        <v>37634.408602150543</v>
      </c>
      <c r="I15" s="16">
        <v>37634.408602150543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>
        <f t="shared" si="2"/>
        <v>112903.22580645164</v>
      </c>
      <c r="AM15" s="33" t="s">
        <v>100</v>
      </c>
      <c r="AN15" s="33" t="s">
        <v>118</v>
      </c>
    </row>
    <row r="16" spans="1:40" x14ac:dyDescent="0.2">
      <c r="A16" s="29" t="s">
        <v>13</v>
      </c>
      <c r="B16" s="34" t="s">
        <v>11</v>
      </c>
      <c r="C16" s="35" t="s">
        <v>61</v>
      </c>
      <c r="D16" s="31" t="s">
        <v>64</v>
      </c>
      <c r="E16" s="36" t="s">
        <v>73</v>
      </c>
      <c r="F16" s="36" t="s">
        <v>72</v>
      </c>
      <c r="G16" s="16"/>
      <c r="H16" s="16"/>
      <c r="I16" s="16"/>
      <c r="J16" s="15">
        <v>37634.408602150499</v>
      </c>
      <c r="K16" s="15">
        <v>37634.408602150499</v>
      </c>
      <c r="L16" s="15">
        <v>37634.408602150499</v>
      </c>
      <c r="M16" s="15">
        <v>37634.408602150499</v>
      </c>
      <c r="N16" s="15">
        <v>37634.408602150499</v>
      </c>
      <c r="O16" s="15">
        <v>37634.408602150499</v>
      </c>
      <c r="P16" s="15">
        <v>37634.408602150499</v>
      </c>
      <c r="Q16" s="15">
        <v>37634.408602150499</v>
      </c>
      <c r="R16" s="15">
        <v>37634.408602150499</v>
      </c>
      <c r="S16" s="15">
        <v>37634.408602150499</v>
      </c>
      <c r="T16" s="15">
        <v>37634.408602150499</v>
      </c>
      <c r="U16" s="15">
        <v>37634.408602150499</v>
      </c>
      <c r="V16" s="15">
        <v>37634.408602150499</v>
      </c>
      <c r="W16" s="15">
        <v>37634.408602150499</v>
      </c>
      <c r="X16" s="15">
        <v>37634.408602150499</v>
      </c>
      <c r="Y16" s="15">
        <v>37634.408602150499</v>
      </c>
      <c r="Z16" s="15">
        <v>37634.408602150499</v>
      </c>
      <c r="AA16" s="15">
        <v>37634.408602150499</v>
      </c>
      <c r="AB16" s="15">
        <v>37634.408602150499</v>
      </c>
      <c r="AC16" s="15">
        <v>37634.408602150499</v>
      </c>
      <c r="AD16" s="15">
        <v>37634.408602150499</v>
      </c>
      <c r="AE16" s="15">
        <v>37634.408602150499</v>
      </c>
      <c r="AF16" s="15">
        <v>37634.408602150499</v>
      </c>
      <c r="AG16" s="15">
        <v>37634.408602150499</v>
      </c>
      <c r="AH16" s="15">
        <v>37634.408602150499</v>
      </c>
      <c r="AI16" s="15">
        <v>37634.408602150499</v>
      </c>
      <c r="AJ16" s="15">
        <v>37634.408602150499</v>
      </c>
      <c r="AK16" s="15">
        <v>37634.408602150499</v>
      </c>
      <c r="AL16" s="16">
        <f t="shared" ref="AL16" si="3">SUM(G16:AK16)</f>
        <v>1053763.4408602139</v>
      </c>
      <c r="AM16" s="33" t="s">
        <v>99</v>
      </c>
      <c r="AN16" s="33" t="s">
        <v>103</v>
      </c>
    </row>
    <row r="17" spans="1:40" x14ac:dyDescent="0.2">
      <c r="A17" s="29" t="s">
        <v>14</v>
      </c>
      <c r="B17" s="34" t="s">
        <v>12</v>
      </c>
      <c r="C17" s="35" t="s">
        <v>140</v>
      </c>
      <c r="D17" s="31" t="s">
        <v>64</v>
      </c>
      <c r="E17" s="36" t="s">
        <v>73</v>
      </c>
      <c r="F17" s="36" t="s">
        <v>72</v>
      </c>
      <c r="G17" s="17">
        <v>43548</v>
      </c>
      <c r="H17" s="17">
        <v>43548</v>
      </c>
      <c r="I17" s="17">
        <v>43548</v>
      </c>
      <c r="J17" s="17">
        <v>43548</v>
      </c>
      <c r="K17" s="17">
        <v>43548</v>
      </c>
      <c r="L17" s="17">
        <v>43548</v>
      </c>
      <c r="M17" s="17">
        <v>43548</v>
      </c>
      <c r="N17" s="17">
        <v>43548</v>
      </c>
      <c r="O17" s="17">
        <v>43548</v>
      </c>
      <c r="P17" s="17">
        <v>43548</v>
      </c>
      <c r="Q17" s="17">
        <v>43548</v>
      </c>
      <c r="R17" s="17">
        <v>43548</v>
      </c>
      <c r="S17" s="17">
        <v>43548</v>
      </c>
      <c r="T17" s="17">
        <v>43548</v>
      </c>
      <c r="U17" s="17">
        <v>43548</v>
      </c>
      <c r="V17" s="17">
        <v>43548</v>
      </c>
      <c r="W17" s="17">
        <v>43548</v>
      </c>
      <c r="X17" s="17">
        <v>43548</v>
      </c>
      <c r="Y17" s="17">
        <v>43548</v>
      </c>
      <c r="Z17" s="17">
        <v>43548</v>
      </c>
      <c r="AA17" s="17">
        <v>43548</v>
      </c>
      <c r="AB17" s="17">
        <v>43548</v>
      </c>
      <c r="AC17" s="17">
        <v>43548</v>
      </c>
      <c r="AD17" s="17">
        <v>43548</v>
      </c>
      <c r="AE17" s="17">
        <v>43548</v>
      </c>
      <c r="AF17" s="17">
        <v>43548</v>
      </c>
      <c r="AG17" s="17">
        <v>43548</v>
      </c>
      <c r="AH17" s="17">
        <v>43548</v>
      </c>
      <c r="AI17" s="17">
        <v>43548</v>
      </c>
      <c r="AJ17" s="17">
        <v>43548</v>
      </c>
      <c r="AK17" s="17">
        <v>43548</v>
      </c>
      <c r="AL17" s="16">
        <f t="shared" si="2"/>
        <v>1349988</v>
      </c>
      <c r="AM17" s="33" t="s">
        <v>92</v>
      </c>
      <c r="AN17" s="33" t="s">
        <v>103</v>
      </c>
    </row>
    <row r="18" spans="1:40" x14ac:dyDescent="0.2">
      <c r="A18" s="29" t="s">
        <v>15</v>
      </c>
      <c r="B18" s="34" t="s">
        <v>13</v>
      </c>
      <c r="C18" s="35" t="s">
        <v>167</v>
      </c>
      <c r="D18" s="31" t="s">
        <v>64</v>
      </c>
      <c r="E18" s="36" t="s">
        <v>117</v>
      </c>
      <c r="F18" s="36" t="s">
        <v>161</v>
      </c>
      <c r="G18" s="17">
        <v>43548</v>
      </c>
      <c r="H18" s="17">
        <v>43548</v>
      </c>
      <c r="I18" s="17">
        <v>43548</v>
      </c>
      <c r="J18" s="17">
        <v>43548</v>
      </c>
      <c r="K18" s="17">
        <v>43548</v>
      </c>
      <c r="L18" s="17">
        <v>43548</v>
      </c>
      <c r="M18" s="17">
        <v>43548</v>
      </c>
      <c r="N18" s="17">
        <v>43548</v>
      </c>
      <c r="O18" s="17">
        <v>43548</v>
      </c>
      <c r="P18" s="17">
        <v>43548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6">
        <f t="shared" si="2"/>
        <v>435480</v>
      </c>
      <c r="AM18" s="33" t="s">
        <v>92</v>
      </c>
      <c r="AN18" s="33" t="s">
        <v>118</v>
      </c>
    </row>
    <row r="19" spans="1:40" x14ac:dyDescent="0.2">
      <c r="A19" s="29" t="s">
        <v>16</v>
      </c>
      <c r="B19" s="34" t="s">
        <v>13</v>
      </c>
      <c r="C19" s="35" t="s">
        <v>164</v>
      </c>
      <c r="D19" s="31" t="s">
        <v>64</v>
      </c>
      <c r="E19" s="36" t="s">
        <v>74</v>
      </c>
      <c r="F19" s="36" t="s">
        <v>125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>
        <v>43548</v>
      </c>
      <c r="X19" s="17">
        <v>43548</v>
      </c>
      <c r="Y19" s="17">
        <v>43548</v>
      </c>
      <c r="Z19" s="17">
        <v>43548</v>
      </c>
      <c r="AA19" s="17">
        <v>43548</v>
      </c>
      <c r="AB19" s="17">
        <v>43548</v>
      </c>
      <c r="AC19" s="17">
        <v>43548</v>
      </c>
      <c r="AD19" s="17">
        <v>43548</v>
      </c>
      <c r="AE19" s="17">
        <v>43548</v>
      </c>
      <c r="AF19" s="17">
        <v>43548</v>
      </c>
      <c r="AG19" s="17">
        <v>43548</v>
      </c>
      <c r="AH19" s="17">
        <v>43548</v>
      </c>
      <c r="AI19" s="17">
        <v>43548</v>
      </c>
      <c r="AJ19" s="17">
        <v>43548</v>
      </c>
      <c r="AK19" s="17">
        <v>43548</v>
      </c>
      <c r="AL19" s="16">
        <f t="shared" ref="AL19" si="4">SUM(G19:AK19)</f>
        <v>653220</v>
      </c>
      <c r="AM19" s="33" t="s">
        <v>92</v>
      </c>
      <c r="AN19" s="33" t="s">
        <v>103</v>
      </c>
    </row>
    <row r="20" spans="1:40" x14ac:dyDescent="0.2">
      <c r="A20" s="29" t="s">
        <v>17</v>
      </c>
      <c r="B20" s="34" t="s">
        <v>14</v>
      </c>
      <c r="C20" s="35" t="s">
        <v>67</v>
      </c>
      <c r="D20" s="31" t="s">
        <v>64</v>
      </c>
      <c r="E20" s="36" t="s">
        <v>73</v>
      </c>
      <c r="F20" s="36" t="s">
        <v>72</v>
      </c>
      <c r="G20" s="16">
        <v>37634.408602150543</v>
      </c>
      <c r="H20" s="16">
        <v>37634.408602150543</v>
      </c>
      <c r="I20" s="16">
        <v>37634.408602150543</v>
      </c>
      <c r="J20" s="16">
        <v>37634.408602150543</v>
      </c>
      <c r="K20" s="16">
        <v>37634.408602150543</v>
      </c>
      <c r="L20" s="16">
        <v>37634.408602150543</v>
      </c>
      <c r="M20" s="16">
        <v>37634.408602150543</v>
      </c>
      <c r="N20" s="16">
        <v>37634.408602150543</v>
      </c>
      <c r="O20" s="16">
        <v>37634.408602150543</v>
      </c>
      <c r="P20" s="16">
        <v>37634.408602150543</v>
      </c>
      <c r="Q20" s="16">
        <v>37634.408602150543</v>
      </c>
      <c r="R20" s="16">
        <v>37634.408602150543</v>
      </c>
      <c r="S20" s="16">
        <v>37634.408602150543</v>
      </c>
      <c r="T20" s="16">
        <v>37634.408602150543</v>
      </c>
      <c r="U20" s="16">
        <v>37634.408602150543</v>
      </c>
      <c r="V20" s="16">
        <v>37634.408602150543</v>
      </c>
      <c r="W20" s="16">
        <v>37634.408602150543</v>
      </c>
      <c r="X20" s="16">
        <v>37634.408602150543</v>
      </c>
      <c r="Y20" s="16">
        <v>37634.408602150543</v>
      </c>
      <c r="Z20" s="16">
        <v>37634.408602150543</v>
      </c>
      <c r="AA20" s="16">
        <v>37634.408602150543</v>
      </c>
      <c r="AB20" s="16">
        <v>37634.408602150543</v>
      </c>
      <c r="AC20" s="16">
        <v>37634.408602150543</v>
      </c>
      <c r="AD20" s="16">
        <v>37634.408602150543</v>
      </c>
      <c r="AE20" s="16">
        <v>37634.408602150543</v>
      </c>
      <c r="AF20" s="16">
        <v>37634.408602150543</v>
      </c>
      <c r="AG20" s="16">
        <v>37634.408602150543</v>
      </c>
      <c r="AH20" s="16">
        <v>37634.408602150543</v>
      </c>
      <c r="AI20" s="16">
        <v>37634.408602150543</v>
      </c>
      <c r="AJ20" s="16">
        <v>37634.408602150543</v>
      </c>
      <c r="AK20" s="15">
        <v>37634.408602150543</v>
      </c>
      <c r="AL20" s="16">
        <f t="shared" si="2"/>
        <v>1166666.6666666667</v>
      </c>
      <c r="AM20" s="33" t="s">
        <v>99</v>
      </c>
      <c r="AN20" s="33" t="s">
        <v>103</v>
      </c>
    </row>
    <row r="21" spans="1:40" x14ac:dyDescent="0.2">
      <c r="A21" s="29" t="s">
        <v>18</v>
      </c>
      <c r="B21" s="34" t="s">
        <v>15</v>
      </c>
      <c r="C21" s="35" t="s">
        <v>62</v>
      </c>
      <c r="D21" s="31" t="s">
        <v>64</v>
      </c>
      <c r="E21" s="36" t="s">
        <v>73</v>
      </c>
      <c r="F21" s="36" t="s">
        <v>75</v>
      </c>
      <c r="G21" s="18">
        <v>39726.027397260274</v>
      </c>
      <c r="H21" s="18">
        <v>39726.027397260274</v>
      </c>
      <c r="I21" s="18">
        <v>39726.027397260274</v>
      </c>
      <c r="J21" s="18">
        <v>39726.027397260274</v>
      </c>
      <c r="K21" s="18">
        <v>39726.027397260274</v>
      </c>
      <c r="L21" s="18">
        <v>39726.027397260274</v>
      </c>
      <c r="M21" s="18">
        <v>39726.027397260274</v>
      </c>
      <c r="N21" s="18">
        <v>39726.027397260274</v>
      </c>
      <c r="O21" s="18">
        <v>39726.027397260274</v>
      </c>
      <c r="P21" s="18">
        <v>39726.027397260274</v>
      </c>
      <c r="Q21" s="18">
        <v>39726.027397260274</v>
      </c>
      <c r="R21" s="18">
        <v>39726.027397260274</v>
      </c>
      <c r="S21" s="18">
        <v>39726.027397260274</v>
      </c>
      <c r="T21" s="18">
        <v>39726.027397260274</v>
      </c>
      <c r="U21" s="18">
        <v>39726.027397260274</v>
      </c>
      <c r="V21" s="18">
        <v>39726.027397260274</v>
      </c>
      <c r="W21" s="18">
        <v>39726.027397260274</v>
      </c>
      <c r="X21" s="18">
        <v>39726.027397260274</v>
      </c>
      <c r="Y21" s="18">
        <v>39726.027397260274</v>
      </c>
      <c r="Z21" s="18">
        <v>39726.027397260274</v>
      </c>
      <c r="AA21" s="18">
        <v>39726.027397260274</v>
      </c>
      <c r="AB21" s="18">
        <v>39726.027397260274</v>
      </c>
      <c r="AC21" s="18">
        <v>39726.027397260303</v>
      </c>
      <c r="AD21" s="18">
        <v>39726.027397260274</v>
      </c>
      <c r="AE21" s="18">
        <v>39726.027397260274</v>
      </c>
      <c r="AF21" s="18">
        <v>39726.027397260274</v>
      </c>
      <c r="AG21" s="18">
        <v>39726.027397260274</v>
      </c>
      <c r="AH21" s="18">
        <v>39726.027397260274</v>
      </c>
      <c r="AI21" s="18">
        <v>39726.027397260274</v>
      </c>
      <c r="AJ21" s="18">
        <v>39726.027397260274</v>
      </c>
      <c r="AK21" s="18">
        <v>39726.027397260274</v>
      </c>
      <c r="AL21" s="16">
        <f t="shared" si="2"/>
        <v>1231506.8493150692</v>
      </c>
      <c r="AM21" s="33" t="s">
        <v>100</v>
      </c>
      <c r="AN21" s="33" t="s">
        <v>103</v>
      </c>
    </row>
    <row r="22" spans="1:40" x14ac:dyDescent="0.2">
      <c r="A22" s="29" t="s">
        <v>19</v>
      </c>
      <c r="B22" s="34">
        <v>14</v>
      </c>
      <c r="C22" s="35" t="s">
        <v>132</v>
      </c>
      <c r="D22" s="31" t="s">
        <v>64</v>
      </c>
      <c r="E22" s="36" t="s">
        <v>73</v>
      </c>
      <c r="F22" s="36" t="s">
        <v>152</v>
      </c>
      <c r="G22" s="18">
        <v>43548</v>
      </c>
      <c r="H22" s="18">
        <v>43548</v>
      </c>
      <c r="I22" s="18">
        <v>43548</v>
      </c>
      <c r="J22" s="18">
        <v>43548</v>
      </c>
      <c r="K22" s="18">
        <v>43548</v>
      </c>
      <c r="L22" s="18">
        <v>43548</v>
      </c>
      <c r="M22" s="18">
        <v>43548</v>
      </c>
      <c r="N22" s="18">
        <v>43548</v>
      </c>
      <c r="O22" s="18">
        <v>43548</v>
      </c>
      <c r="P22" s="18">
        <v>43548</v>
      </c>
      <c r="Q22" s="18">
        <v>43548</v>
      </c>
      <c r="R22" s="18">
        <v>43548</v>
      </c>
      <c r="S22" s="18">
        <v>43548</v>
      </c>
      <c r="T22" s="18">
        <v>43548</v>
      </c>
      <c r="U22" s="18">
        <v>43548</v>
      </c>
      <c r="V22" s="18">
        <v>43548</v>
      </c>
      <c r="W22" s="18">
        <v>43548</v>
      </c>
      <c r="X22" s="18">
        <v>43548</v>
      </c>
      <c r="Y22" s="18">
        <v>43548</v>
      </c>
      <c r="Z22" s="18">
        <v>43548</v>
      </c>
      <c r="AA22" s="18">
        <v>43548</v>
      </c>
      <c r="AB22" s="18">
        <v>43548</v>
      </c>
      <c r="AC22" s="18">
        <v>43548</v>
      </c>
      <c r="AD22" s="18">
        <v>43548</v>
      </c>
      <c r="AE22" s="18">
        <v>43548</v>
      </c>
      <c r="AF22" s="18">
        <v>43548</v>
      </c>
      <c r="AG22" s="18">
        <v>43548</v>
      </c>
      <c r="AH22" s="18">
        <v>43548</v>
      </c>
      <c r="AI22" s="18">
        <v>43548</v>
      </c>
      <c r="AJ22" s="18">
        <v>43548</v>
      </c>
      <c r="AK22" s="18">
        <v>43548</v>
      </c>
      <c r="AL22" s="16">
        <f t="shared" si="2"/>
        <v>1349988</v>
      </c>
      <c r="AM22" s="33" t="s">
        <v>92</v>
      </c>
      <c r="AN22" s="33" t="s">
        <v>103</v>
      </c>
    </row>
    <row r="23" spans="1:40" x14ac:dyDescent="0.2">
      <c r="A23" s="29" t="s">
        <v>20</v>
      </c>
      <c r="B23" s="34" t="s">
        <v>17</v>
      </c>
      <c r="C23" s="35" t="s">
        <v>202</v>
      </c>
      <c r="D23" s="31" t="s">
        <v>64</v>
      </c>
      <c r="E23" s="36" t="s">
        <v>74</v>
      </c>
      <c r="F23" s="36" t="s">
        <v>116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>
        <v>43548</v>
      </c>
      <c r="AB23" s="18">
        <v>43548</v>
      </c>
      <c r="AC23" s="18">
        <v>43548</v>
      </c>
      <c r="AD23" s="18">
        <v>43548</v>
      </c>
      <c r="AE23" s="18">
        <v>43548</v>
      </c>
      <c r="AF23" s="18">
        <v>43548</v>
      </c>
      <c r="AG23" s="18">
        <v>43548</v>
      </c>
      <c r="AH23" s="18">
        <v>43548</v>
      </c>
      <c r="AI23" s="18">
        <v>43548</v>
      </c>
      <c r="AJ23" s="18">
        <v>43548</v>
      </c>
      <c r="AK23" s="18">
        <v>43548</v>
      </c>
      <c r="AL23" s="16">
        <f t="shared" ref="AL23" si="5">SUM(G23:AK23)</f>
        <v>479028</v>
      </c>
      <c r="AM23" s="33" t="s">
        <v>92</v>
      </c>
      <c r="AN23" s="33" t="s">
        <v>103</v>
      </c>
    </row>
    <row r="24" spans="1:40" x14ac:dyDescent="0.2">
      <c r="A24" s="29" t="s">
        <v>21</v>
      </c>
      <c r="B24" s="34" t="s">
        <v>19</v>
      </c>
      <c r="C24" s="35" t="s">
        <v>191</v>
      </c>
      <c r="D24" s="31" t="s">
        <v>64</v>
      </c>
      <c r="E24" s="36" t="s">
        <v>74</v>
      </c>
      <c r="F24" s="36" t="s">
        <v>115</v>
      </c>
      <c r="G24" s="18"/>
      <c r="H24" s="18"/>
      <c r="I24" s="18"/>
      <c r="J24" s="18">
        <v>43548</v>
      </c>
      <c r="K24" s="18">
        <v>43548</v>
      </c>
      <c r="L24" s="18">
        <v>43548</v>
      </c>
      <c r="M24" s="18">
        <v>43548</v>
      </c>
      <c r="N24" s="18">
        <v>43548</v>
      </c>
      <c r="O24" s="18">
        <v>43548</v>
      </c>
      <c r="P24" s="18">
        <v>43548</v>
      </c>
      <c r="Q24" s="18">
        <v>43548</v>
      </c>
      <c r="R24" s="18">
        <v>43548</v>
      </c>
      <c r="S24" s="18">
        <v>43548</v>
      </c>
      <c r="T24" s="18">
        <v>43548</v>
      </c>
      <c r="U24" s="18">
        <v>43548</v>
      </c>
      <c r="V24" s="18">
        <v>43548</v>
      </c>
      <c r="W24" s="18">
        <v>43548</v>
      </c>
      <c r="X24" s="18">
        <v>43548</v>
      </c>
      <c r="Y24" s="18">
        <v>43548</v>
      </c>
      <c r="Z24" s="18">
        <v>43548</v>
      </c>
      <c r="AA24" s="18">
        <v>43548</v>
      </c>
      <c r="AB24" s="18">
        <v>43548</v>
      </c>
      <c r="AC24" s="18">
        <v>43548</v>
      </c>
      <c r="AD24" s="18">
        <v>43548</v>
      </c>
      <c r="AE24" s="18">
        <v>43548</v>
      </c>
      <c r="AF24" s="18">
        <v>43548</v>
      </c>
      <c r="AG24" s="18">
        <v>43548</v>
      </c>
      <c r="AH24" s="18">
        <v>43548</v>
      </c>
      <c r="AI24" s="18">
        <v>43548</v>
      </c>
      <c r="AJ24" s="18">
        <v>43548</v>
      </c>
      <c r="AK24" s="18">
        <v>43548</v>
      </c>
      <c r="AL24" s="16">
        <f t="shared" ref="AL24" si="6">SUM(G24:AK24)</f>
        <v>1219344</v>
      </c>
      <c r="AM24" s="33" t="s">
        <v>92</v>
      </c>
      <c r="AN24" s="33" t="s">
        <v>103</v>
      </c>
    </row>
    <row r="25" spans="1:40" x14ac:dyDescent="0.2">
      <c r="A25" s="29" t="s">
        <v>22</v>
      </c>
      <c r="B25" s="34">
        <v>18</v>
      </c>
      <c r="C25" s="35" t="s">
        <v>150</v>
      </c>
      <c r="D25" s="31" t="s">
        <v>64</v>
      </c>
      <c r="E25" s="36" t="s">
        <v>74</v>
      </c>
      <c r="F25" s="36" t="s">
        <v>151</v>
      </c>
      <c r="G25" s="17">
        <v>43548</v>
      </c>
      <c r="H25" s="17">
        <v>43548</v>
      </c>
      <c r="I25" s="17">
        <v>43548</v>
      </c>
      <c r="J25" s="17">
        <v>43548</v>
      </c>
      <c r="K25" s="17">
        <v>43548</v>
      </c>
      <c r="L25" s="17"/>
      <c r="M25" s="17"/>
      <c r="N25" s="17"/>
      <c r="O25" s="17"/>
      <c r="P25" s="18">
        <v>43548</v>
      </c>
      <c r="Q25" s="18">
        <v>43548</v>
      </c>
      <c r="R25" s="18">
        <v>43548</v>
      </c>
      <c r="S25" s="18">
        <v>43548</v>
      </c>
      <c r="T25" s="18">
        <v>43548</v>
      </c>
      <c r="U25" s="18">
        <v>43548</v>
      </c>
      <c r="V25" s="18">
        <v>43548</v>
      </c>
      <c r="W25" s="18">
        <v>43548</v>
      </c>
      <c r="X25" s="18">
        <v>43548</v>
      </c>
      <c r="Y25" s="18">
        <v>43548</v>
      </c>
      <c r="Z25" s="18">
        <v>43548</v>
      </c>
      <c r="AA25" s="18">
        <v>43548</v>
      </c>
      <c r="AB25" s="18">
        <v>43548</v>
      </c>
      <c r="AC25" s="18">
        <v>43548</v>
      </c>
      <c r="AD25" s="18">
        <v>43548</v>
      </c>
      <c r="AE25" s="18">
        <v>43548</v>
      </c>
      <c r="AF25" s="18">
        <v>43548</v>
      </c>
      <c r="AG25" s="18">
        <v>43548</v>
      </c>
      <c r="AH25" s="18">
        <v>43548</v>
      </c>
      <c r="AI25" s="18">
        <v>43548</v>
      </c>
      <c r="AJ25" s="18">
        <v>43548</v>
      </c>
      <c r="AK25" s="18">
        <v>43548</v>
      </c>
      <c r="AL25" s="16">
        <f t="shared" si="2"/>
        <v>1175796</v>
      </c>
      <c r="AM25" s="33" t="s">
        <v>92</v>
      </c>
      <c r="AN25" s="33" t="s">
        <v>103</v>
      </c>
    </row>
    <row r="26" spans="1:40" x14ac:dyDescent="0.2">
      <c r="A26" s="29" t="s">
        <v>23</v>
      </c>
      <c r="B26" s="34" t="s">
        <v>21</v>
      </c>
      <c r="C26" s="35" t="s">
        <v>130</v>
      </c>
      <c r="D26" s="31" t="s">
        <v>64</v>
      </c>
      <c r="E26" s="36" t="s">
        <v>73</v>
      </c>
      <c r="F26" s="36" t="s">
        <v>131</v>
      </c>
      <c r="G26" s="15">
        <v>37634.408602150543</v>
      </c>
      <c r="H26" s="15">
        <v>37634.408602150543</v>
      </c>
      <c r="I26" s="15">
        <v>37634.408602150543</v>
      </c>
      <c r="J26" s="15">
        <v>37634.408602150543</v>
      </c>
      <c r="K26" s="15">
        <v>37634.408602150543</v>
      </c>
      <c r="L26" s="15">
        <v>37634.408602150543</v>
      </c>
      <c r="M26" s="15">
        <v>37634.408602150543</v>
      </c>
      <c r="N26" s="15">
        <v>37634.408602150543</v>
      </c>
      <c r="O26" s="15">
        <v>37634.408602150543</v>
      </c>
      <c r="P26" s="15">
        <v>37634.408602150543</v>
      </c>
      <c r="Q26" s="15">
        <v>37634.408602150543</v>
      </c>
      <c r="R26" s="15">
        <v>37634.408602150543</v>
      </c>
      <c r="S26" s="15">
        <v>37634.408602150543</v>
      </c>
      <c r="T26" s="15">
        <v>37634.408602150543</v>
      </c>
      <c r="U26" s="15">
        <v>37634.408602150543</v>
      </c>
      <c r="V26" s="15">
        <v>37634.408602150543</v>
      </c>
      <c r="W26" s="15">
        <v>37634.408602150543</v>
      </c>
      <c r="X26" s="15">
        <v>37634.408602150543</v>
      </c>
      <c r="Y26" s="15">
        <v>37634.408602150543</v>
      </c>
      <c r="Z26" s="15">
        <v>37634.408602150543</v>
      </c>
      <c r="AA26" s="15">
        <v>37634.408602150543</v>
      </c>
      <c r="AB26" s="15">
        <v>37634.408602150543</v>
      </c>
      <c r="AC26" s="15">
        <v>37634.408602150543</v>
      </c>
      <c r="AD26" s="15">
        <v>37634.408602150543</v>
      </c>
      <c r="AE26" s="15">
        <v>37634.408602150543</v>
      </c>
      <c r="AF26" s="15">
        <v>37634.408602150543</v>
      </c>
      <c r="AG26" s="15">
        <v>37634.408602150543</v>
      </c>
      <c r="AH26" s="15">
        <v>37634.408602150543</v>
      </c>
      <c r="AI26" s="15">
        <v>37634.408602150543</v>
      </c>
      <c r="AJ26" s="15">
        <v>37634.408602150543</v>
      </c>
      <c r="AK26" s="16">
        <v>37634.408602150543</v>
      </c>
      <c r="AL26" s="16">
        <f t="shared" si="2"/>
        <v>1166666.6666666667</v>
      </c>
      <c r="AM26" s="33" t="s">
        <v>100</v>
      </c>
      <c r="AN26" s="33" t="s">
        <v>103</v>
      </c>
    </row>
    <row r="27" spans="1:40" x14ac:dyDescent="0.2">
      <c r="A27" s="29" t="s">
        <v>24</v>
      </c>
      <c r="B27" s="34" t="s">
        <v>22</v>
      </c>
      <c r="C27" s="35" t="s">
        <v>129</v>
      </c>
      <c r="D27" s="31" t="s">
        <v>64</v>
      </c>
      <c r="E27" s="36" t="s">
        <v>73</v>
      </c>
      <c r="F27" s="36" t="s">
        <v>93</v>
      </c>
      <c r="G27" s="17">
        <v>43548</v>
      </c>
      <c r="H27" s="17">
        <v>43548</v>
      </c>
      <c r="I27" s="17">
        <v>43548</v>
      </c>
      <c r="J27" s="17">
        <v>43548</v>
      </c>
      <c r="K27" s="17">
        <v>43548</v>
      </c>
      <c r="L27" s="17">
        <v>43548</v>
      </c>
      <c r="M27" s="17">
        <v>43548</v>
      </c>
      <c r="N27" s="17">
        <v>43548</v>
      </c>
      <c r="O27" s="17">
        <v>43548</v>
      </c>
      <c r="P27" s="17">
        <v>43548</v>
      </c>
      <c r="Q27" s="17">
        <v>43548</v>
      </c>
      <c r="R27" s="17">
        <v>43548</v>
      </c>
      <c r="S27" s="17">
        <v>43548</v>
      </c>
      <c r="T27" s="17">
        <v>43548</v>
      </c>
      <c r="U27" s="17">
        <v>43548</v>
      </c>
      <c r="V27" s="17">
        <v>43548</v>
      </c>
      <c r="W27" s="17">
        <v>43548</v>
      </c>
      <c r="X27" s="17">
        <v>43548</v>
      </c>
      <c r="Y27" s="17">
        <v>43548</v>
      </c>
      <c r="Z27" s="17">
        <v>43548</v>
      </c>
      <c r="AA27" s="17">
        <v>43548</v>
      </c>
      <c r="AB27" s="17">
        <v>43548</v>
      </c>
      <c r="AC27" s="17">
        <v>43548</v>
      </c>
      <c r="AD27" s="17">
        <v>43548</v>
      </c>
      <c r="AE27" s="17">
        <v>43548</v>
      </c>
      <c r="AF27" s="17">
        <v>43548</v>
      </c>
      <c r="AG27" s="17">
        <v>43548</v>
      </c>
      <c r="AH27" s="17">
        <v>43548</v>
      </c>
      <c r="AI27" s="17">
        <v>43548</v>
      </c>
      <c r="AJ27" s="17">
        <v>43548</v>
      </c>
      <c r="AK27" s="17">
        <v>43548</v>
      </c>
      <c r="AL27" s="16">
        <f t="shared" si="2"/>
        <v>1349988</v>
      </c>
      <c r="AM27" s="33" t="s">
        <v>92</v>
      </c>
      <c r="AN27" s="33" t="s">
        <v>103</v>
      </c>
    </row>
    <row r="28" spans="1:40" x14ac:dyDescent="0.2">
      <c r="A28" s="29" t="s">
        <v>25</v>
      </c>
      <c r="B28" s="34" t="s">
        <v>23</v>
      </c>
      <c r="C28" s="35" t="s">
        <v>137</v>
      </c>
      <c r="D28" s="31" t="s">
        <v>64</v>
      </c>
      <c r="E28" s="36" t="s">
        <v>73</v>
      </c>
      <c r="F28" s="36" t="s">
        <v>74</v>
      </c>
      <c r="G28" s="16">
        <v>37634.408602150543</v>
      </c>
      <c r="H28" s="16">
        <v>37634.408602150543</v>
      </c>
      <c r="I28" s="16">
        <v>37634.408602150543</v>
      </c>
      <c r="J28" s="16">
        <v>37634.408602150543</v>
      </c>
      <c r="K28" s="16">
        <v>37634.408602150543</v>
      </c>
      <c r="L28" s="16">
        <v>37634.408602150543</v>
      </c>
      <c r="M28" s="16">
        <v>37634.408602150543</v>
      </c>
      <c r="N28" s="16">
        <v>37634.408602150543</v>
      </c>
      <c r="O28" s="16">
        <v>37634.408602150543</v>
      </c>
      <c r="P28" s="16">
        <v>37634.408602150543</v>
      </c>
      <c r="Q28" s="16">
        <v>37634.408602150543</v>
      </c>
      <c r="R28" s="16">
        <v>37634.408602150543</v>
      </c>
      <c r="S28" s="16">
        <v>37634.408602150543</v>
      </c>
      <c r="T28" s="16">
        <v>37634.408602150543</v>
      </c>
      <c r="U28" s="16">
        <v>37634.408602150543</v>
      </c>
      <c r="V28" s="16">
        <v>37634.408602150543</v>
      </c>
      <c r="W28" s="16">
        <v>37634.408602150543</v>
      </c>
      <c r="X28" s="16">
        <v>37634.408602150543</v>
      </c>
      <c r="Y28" s="16">
        <v>37634.408602150543</v>
      </c>
      <c r="Z28" s="16">
        <v>37634.408602150543</v>
      </c>
      <c r="AA28" s="16">
        <v>37634.408602150543</v>
      </c>
      <c r="AB28" s="16">
        <v>37634.408602150543</v>
      </c>
      <c r="AC28" s="16">
        <v>37634.408602150543</v>
      </c>
      <c r="AD28" s="16">
        <v>37634.408602150543</v>
      </c>
      <c r="AE28" s="16">
        <v>37634.408602150543</v>
      </c>
      <c r="AF28" s="16">
        <v>37634.408602150543</v>
      </c>
      <c r="AG28" s="16">
        <v>37634.408602150543</v>
      </c>
      <c r="AH28" s="16">
        <v>37634.408602150543</v>
      </c>
      <c r="AI28" s="16">
        <v>37634.408602150543</v>
      </c>
      <c r="AJ28" s="16">
        <v>37634.408602150543</v>
      </c>
      <c r="AK28" s="16">
        <v>37634.408602150543</v>
      </c>
      <c r="AL28" s="16">
        <f t="shared" si="2"/>
        <v>1166666.6666666667</v>
      </c>
      <c r="AM28" s="32" t="s">
        <v>100</v>
      </c>
      <c r="AN28" s="13" t="s">
        <v>103</v>
      </c>
    </row>
    <row r="29" spans="1:40" x14ac:dyDescent="0.2">
      <c r="A29" s="29" t="s">
        <v>26</v>
      </c>
      <c r="B29" s="39" t="s">
        <v>24</v>
      </c>
      <c r="C29" s="40" t="s">
        <v>122</v>
      </c>
      <c r="D29" s="41" t="s">
        <v>64</v>
      </c>
      <c r="E29" s="42" t="s">
        <v>74</v>
      </c>
      <c r="F29" s="42" t="s">
        <v>72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/>
      <c r="AL29" s="54">
        <f t="shared" si="2"/>
        <v>0</v>
      </c>
      <c r="AM29" s="44" t="s">
        <v>90</v>
      </c>
      <c r="AN29" s="44" t="s">
        <v>103</v>
      </c>
    </row>
    <row r="30" spans="1:40" x14ac:dyDescent="0.2">
      <c r="A30" s="29" t="s">
        <v>27</v>
      </c>
      <c r="B30" s="34" t="s">
        <v>25</v>
      </c>
      <c r="C30" s="35" t="s">
        <v>123</v>
      </c>
      <c r="D30" s="31" t="s">
        <v>64</v>
      </c>
      <c r="E30" s="36" t="s">
        <v>73</v>
      </c>
      <c r="F30" s="36" t="s">
        <v>136</v>
      </c>
      <c r="G30" s="17">
        <v>43548</v>
      </c>
      <c r="H30" s="17">
        <v>43548</v>
      </c>
      <c r="I30" s="17">
        <v>43548</v>
      </c>
      <c r="J30" s="17">
        <v>43548</v>
      </c>
      <c r="K30" s="17">
        <v>43548</v>
      </c>
      <c r="L30" s="17">
        <v>43548</v>
      </c>
      <c r="M30" s="17">
        <v>43548</v>
      </c>
      <c r="N30" s="17">
        <v>43548</v>
      </c>
      <c r="O30" s="17">
        <v>43548</v>
      </c>
      <c r="P30" s="17">
        <v>43548</v>
      </c>
      <c r="Q30" s="17">
        <v>43548</v>
      </c>
      <c r="R30" s="17">
        <v>43548</v>
      </c>
      <c r="S30" s="17">
        <v>43548</v>
      </c>
      <c r="T30" s="17">
        <v>43548</v>
      </c>
      <c r="U30" s="17">
        <v>43548</v>
      </c>
      <c r="V30" s="17">
        <v>43548</v>
      </c>
      <c r="W30" s="17">
        <v>43548</v>
      </c>
      <c r="X30" s="17">
        <v>43548</v>
      </c>
      <c r="Y30" s="17">
        <v>43548</v>
      </c>
      <c r="Z30" s="17">
        <v>43548</v>
      </c>
      <c r="AA30" s="17">
        <v>43548</v>
      </c>
      <c r="AB30" s="17">
        <v>43548</v>
      </c>
      <c r="AC30" s="17">
        <v>43548</v>
      </c>
      <c r="AD30" s="17">
        <v>43548</v>
      </c>
      <c r="AE30" s="17">
        <v>43548</v>
      </c>
      <c r="AF30" s="17">
        <v>43548</v>
      </c>
      <c r="AG30" s="17">
        <v>43548</v>
      </c>
      <c r="AH30" s="17">
        <v>43548</v>
      </c>
      <c r="AI30" s="17">
        <v>43548</v>
      </c>
      <c r="AJ30" s="17">
        <v>43548</v>
      </c>
      <c r="AK30" s="17">
        <v>43548</v>
      </c>
      <c r="AL30" s="16">
        <f t="shared" si="2"/>
        <v>1349988</v>
      </c>
      <c r="AM30" s="33" t="s">
        <v>92</v>
      </c>
      <c r="AN30" s="33" t="s">
        <v>103</v>
      </c>
    </row>
    <row r="31" spans="1:40" x14ac:dyDescent="0.2">
      <c r="A31" s="29" t="s">
        <v>28</v>
      </c>
      <c r="B31" s="34" t="s">
        <v>26</v>
      </c>
      <c r="C31" s="35" t="s">
        <v>165</v>
      </c>
      <c r="D31" s="31" t="s">
        <v>64</v>
      </c>
      <c r="E31" s="36" t="s">
        <v>117</v>
      </c>
      <c r="F31" s="36" t="s">
        <v>161</v>
      </c>
      <c r="G31" s="17">
        <v>43548</v>
      </c>
      <c r="H31" s="17">
        <v>43548</v>
      </c>
      <c r="I31" s="17">
        <v>43548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6">
        <f t="shared" si="2"/>
        <v>130644</v>
      </c>
      <c r="AM31" s="33" t="s">
        <v>92</v>
      </c>
      <c r="AN31" s="33" t="s">
        <v>118</v>
      </c>
    </row>
    <row r="32" spans="1:40" x14ac:dyDescent="0.2">
      <c r="A32" s="29" t="s">
        <v>29</v>
      </c>
      <c r="B32" s="34" t="s">
        <v>26</v>
      </c>
      <c r="C32" s="35" t="s">
        <v>194</v>
      </c>
      <c r="D32" s="31" t="s">
        <v>64</v>
      </c>
      <c r="E32" s="22" t="s">
        <v>73</v>
      </c>
      <c r="F32" s="36" t="s">
        <v>72</v>
      </c>
      <c r="G32" s="17"/>
      <c r="H32" s="17"/>
      <c r="I32" s="17"/>
      <c r="J32" s="17"/>
      <c r="K32" s="17"/>
      <c r="L32" s="15">
        <v>38888.888888888891</v>
      </c>
      <c r="M32" s="15">
        <v>38888.888888888891</v>
      </c>
      <c r="N32" s="15">
        <v>38888.888888888891</v>
      </c>
      <c r="O32" s="15">
        <v>38888.888888888891</v>
      </c>
      <c r="P32" s="15">
        <v>38888.888888888891</v>
      </c>
      <c r="Q32" s="15">
        <v>38888.888888888891</v>
      </c>
      <c r="R32" s="15">
        <v>38888.888888888891</v>
      </c>
      <c r="S32" s="15">
        <v>38888.888888888891</v>
      </c>
      <c r="T32" s="15">
        <v>38888.888888888891</v>
      </c>
      <c r="U32" s="15">
        <v>38888.888888888891</v>
      </c>
      <c r="V32" s="15">
        <v>38888.888888888891</v>
      </c>
      <c r="W32" s="15">
        <v>38888.888888888891</v>
      </c>
      <c r="X32" s="15">
        <v>38888.888888888891</v>
      </c>
      <c r="Y32" s="15">
        <v>38888.888888888891</v>
      </c>
      <c r="Z32" s="15">
        <v>38888.888888888891</v>
      </c>
      <c r="AA32" s="15">
        <v>38888.888888888891</v>
      </c>
      <c r="AB32" s="15">
        <v>38888.888888888891</v>
      </c>
      <c r="AC32" s="15">
        <v>38888.888888888891</v>
      </c>
      <c r="AD32" s="15">
        <v>38888.888888888891</v>
      </c>
      <c r="AE32" s="15">
        <v>38888.888888888891</v>
      </c>
      <c r="AF32" s="15">
        <v>38888.888888888891</v>
      </c>
      <c r="AG32" s="15">
        <v>38888.888888888891</v>
      </c>
      <c r="AH32" s="15">
        <v>38888.888888888891</v>
      </c>
      <c r="AI32" s="15">
        <v>38888.888888888891</v>
      </c>
      <c r="AJ32" s="15">
        <v>38888.888888888891</v>
      </c>
      <c r="AK32" s="15">
        <v>38888.888888888891</v>
      </c>
      <c r="AL32" s="16">
        <f t="shared" ref="AL32" si="7">SUM(G32:AK32)</f>
        <v>1011111.1111111109</v>
      </c>
      <c r="AM32" s="33" t="s">
        <v>100</v>
      </c>
      <c r="AN32" s="33" t="s">
        <v>103</v>
      </c>
    </row>
    <row r="33" spans="1:40" x14ac:dyDescent="0.2">
      <c r="A33" s="29" t="s">
        <v>30</v>
      </c>
      <c r="B33" s="34" t="s">
        <v>27</v>
      </c>
      <c r="C33" s="35" t="s">
        <v>98</v>
      </c>
      <c r="D33" s="31" t="s">
        <v>64</v>
      </c>
      <c r="E33" s="36" t="s">
        <v>119</v>
      </c>
      <c r="F33" s="36" t="s">
        <v>72</v>
      </c>
      <c r="G33" s="15">
        <v>38888.888888888891</v>
      </c>
      <c r="H33" s="15">
        <v>38888.888888888891</v>
      </c>
      <c r="I33" s="15">
        <v>38888.888888888891</v>
      </c>
      <c r="J33" s="15">
        <v>38888.888888888891</v>
      </c>
      <c r="K33" s="15">
        <v>38888.888888888891</v>
      </c>
      <c r="L33" s="15">
        <v>38888.888888888891</v>
      </c>
      <c r="M33" s="15">
        <v>38888.888888888891</v>
      </c>
      <c r="N33" s="15">
        <v>38888.888888888891</v>
      </c>
      <c r="O33" s="15">
        <v>38888.888888888891</v>
      </c>
      <c r="P33" s="15">
        <v>38888.888888888891</v>
      </c>
      <c r="Q33" s="15">
        <v>38888.888888888891</v>
      </c>
      <c r="R33" s="15">
        <v>38888.888888888891</v>
      </c>
      <c r="S33" s="15">
        <v>38888.888888888891</v>
      </c>
      <c r="T33" s="15">
        <v>38888.888888888891</v>
      </c>
      <c r="U33" s="15">
        <v>38888.888888888891</v>
      </c>
      <c r="V33" s="15">
        <v>38888.888888888891</v>
      </c>
      <c r="W33" s="15">
        <v>38888.888888888891</v>
      </c>
      <c r="X33" s="15">
        <v>38888.888888888891</v>
      </c>
      <c r="Y33" s="15">
        <v>38888.888888888891</v>
      </c>
      <c r="Z33" s="15">
        <v>38888.888888888891</v>
      </c>
      <c r="AA33" s="15">
        <v>38888.888888888891</v>
      </c>
      <c r="AB33" s="15">
        <v>38888.888888888891</v>
      </c>
      <c r="AC33" s="15">
        <v>38888.888888888891</v>
      </c>
      <c r="AD33" s="15">
        <v>38888.888888888891</v>
      </c>
      <c r="AE33" s="15">
        <v>38888.888888888891</v>
      </c>
      <c r="AF33" s="15">
        <v>38888.888888888891</v>
      </c>
      <c r="AG33" s="15">
        <v>38888.888888888891</v>
      </c>
      <c r="AH33" s="15">
        <v>38888.888888888891</v>
      </c>
      <c r="AI33" s="15">
        <v>38888.888888888891</v>
      </c>
      <c r="AJ33" s="15">
        <v>38888.888888888891</v>
      </c>
      <c r="AK33" s="15">
        <v>38888.888888888891</v>
      </c>
      <c r="AL33" s="16">
        <f t="shared" si="2"/>
        <v>1205555.5555555557</v>
      </c>
      <c r="AM33" s="33" t="s">
        <v>100</v>
      </c>
      <c r="AN33" s="33" t="s">
        <v>103</v>
      </c>
    </row>
    <row r="34" spans="1:40" x14ac:dyDescent="0.2">
      <c r="A34" s="29" t="s">
        <v>31</v>
      </c>
      <c r="B34" s="34" t="s">
        <v>28</v>
      </c>
      <c r="C34" s="35" t="s">
        <v>146</v>
      </c>
      <c r="D34" s="31" t="s">
        <v>64</v>
      </c>
      <c r="E34" s="36" t="s">
        <v>74</v>
      </c>
      <c r="F34" s="36" t="s">
        <v>74</v>
      </c>
      <c r="G34" s="17">
        <v>43548</v>
      </c>
      <c r="H34" s="17">
        <v>43548</v>
      </c>
      <c r="I34" s="17">
        <v>43548</v>
      </c>
      <c r="J34" s="17">
        <v>43548</v>
      </c>
      <c r="K34" s="17">
        <v>43548</v>
      </c>
      <c r="L34" s="17">
        <v>43548</v>
      </c>
      <c r="M34" s="17">
        <v>43548</v>
      </c>
      <c r="N34" s="17">
        <v>43548</v>
      </c>
      <c r="O34" s="17">
        <v>43548</v>
      </c>
      <c r="P34" s="17">
        <v>43548</v>
      </c>
      <c r="Q34" s="17">
        <v>43548</v>
      </c>
      <c r="R34" s="17">
        <v>43548</v>
      </c>
      <c r="S34" s="17">
        <v>43548</v>
      </c>
      <c r="T34" s="17">
        <v>43548</v>
      </c>
      <c r="U34" s="17">
        <v>43548</v>
      </c>
      <c r="V34" s="17">
        <v>43548</v>
      </c>
      <c r="W34" s="17">
        <v>43548</v>
      </c>
      <c r="X34" s="17">
        <v>43548</v>
      </c>
      <c r="Y34" s="17">
        <v>43548</v>
      </c>
      <c r="Z34" s="17">
        <v>43548</v>
      </c>
      <c r="AA34" s="17">
        <v>43548</v>
      </c>
      <c r="AB34" s="17">
        <v>43548</v>
      </c>
      <c r="AC34" s="17">
        <v>43548</v>
      </c>
      <c r="AD34" s="17">
        <v>43548</v>
      </c>
      <c r="AE34" s="17">
        <v>43548</v>
      </c>
      <c r="AF34" s="17">
        <v>43548</v>
      </c>
      <c r="AG34" s="17">
        <v>43548</v>
      </c>
      <c r="AH34" s="17">
        <v>43548</v>
      </c>
      <c r="AI34" s="17">
        <v>43548</v>
      </c>
      <c r="AJ34" s="17">
        <v>43548</v>
      </c>
      <c r="AK34" s="17">
        <v>43548</v>
      </c>
      <c r="AL34" s="16">
        <f t="shared" si="2"/>
        <v>1349988</v>
      </c>
      <c r="AM34" s="33" t="s">
        <v>92</v>
      </c>
      <c r="AN34" s="33" t="s">
        <v>103</v>
      </c>
    </row>
    <row r="35" spans="1:40" x14ac:dyDescent="0.2">
      <c r="A35" s="29" t="s">
        <v>32</v>
      </c>
      <c r="B35" s="34" t="s">
        <v>29</v>
      </c>
      <c r="C35" s="35" t="s">
        <v>122</v>
      </c>
      <c r="D35" s="31" t="s">
        <v>64</v>
      </c>
      <c r="E35" s="36" t="s">
        <v>74</v>
      </c>
      <c r="F35" s="36" t="s">
        <v>72</v>
      </c>
      <c r="G35" s="15">
        <v>36000</v>
      </c>
      <c r="H35" s="15">
        <v>36000</v>
      </c>
      <c r="I35" s="15">
        <v>36000</v>
      </c>
      <c r="J35" s="15">
        <v>36000</v>
      </c>
      <c r="K35" s="15">
        <v>36000</v>
      </c>
      <c r="L35" s="15">
        <v>36000</v>
      </c>
      <c r="M35" s="15">
        <v>36000</v>
      </c>
      <c r="N35" s="15">
        <v>36000</v>
      </c>
      <c r="O35" s="15">
        <v>36000</v>
      </c>
      <c r="P35" s="15">
        <v>36000</v>
      </c>
      <c r="Q35" s="15">
        <v>36000</v>
      </c>
      <c r="R35" s="15">
        <v>36000</v>
      </c>
      <c r="S35" s="15">
        <v>36000</v>
      </c>
      <c r="T35" s="15">
        <v>36000</v>
      </c>
      <c r="U35" s="15">
        <v>36000</v>
      </c>
      <c r="V35" s="15">
        <v>36000</v>
      </c>
      <c r="W35" s="15">
        <v>36000</v>
      </c>
      <c r="X35" s="15">
        <v>36000</v>
      </c>
      <c r="Y35" s="15">
        <v>36000</v>
      </c>
      <c r="Z35" s="15">
        <v>36000</v>
      </c>
      <c r="AA35" s="15">
        <v>36000</v>
      </c>
      <c r="AB35" s="15">
        <v>36000</v>
      </c>
      <c r="AC35" s="15">
        <v>36000</v>
      </c>
      <c r="AD35" s="15">
        <v>36000</v>
      </c>
      <c r="AE35" s="15">
        <v>36000</v>
      </c>
      <c r="AF35" s="15">
        <v>36000</v>
      </c>
      <c r="AG35" s="15">
        <v>36000</v>
      </c>
      <c r="AH35" s="15">
        <v>36000</v>
      </c>
      <c r="AI35" s="15">
        <v>36000</v>
      </c>
      <c r="AJ35" s="15">
        <v>36000</v>
      </c>
      <c r="AK35" s="15">
        <v>36000</v>
      </c>
      <c r="AL35" s="16">
        <f t="shared" si="2"/>
        <v>1116000</v>
      </c>
      <c r="AM35" s="33" t="s">
        <v>100</v>
      </c>
      <c r="AN35" s="47" t="s">
        <v>103</v>
      </c>
    </row>
    <row r="36" spans="1:40" x14ac:dyDescent="0.2">
      <c r="A36" s="29" t="s">
        <v>33</v>
      </c>
      <c r="B36" s="34" t="s">
        <v>30</v>
      </c>
      <c r="C36" s="35" t="s">
        <v>166</v>
      </c>
      <c r="D36" s="31" t="s">
        <v>64</v>
      </c>
      <c r="E36" s="36" t="s">
        <v>117</v>
      </c>
      <c r="F36" s="36" t="s">
        <v>72</v>
      </c>
      <c r="G36" s="17">
        <v>43548</v>
      </c>
      <c r="H36" s="17">
        <v>43548</v>
      </c>
      <c r="I36" s="17">
        <v>43548</v>
      </c>
      <c r="J36" s="17">
        <v>43548</v>
      </c>
      <c r="K36" s="17">
        <v>43548</v>
      </c>
      <c r="L36" s="17">
        <v>43548</v>
      </c>
      <c r="M36" s="17">
        <v>43548</v>
      </c>
      <c r="N36" s="17">
        <v>43548</v>
      </c>
      <c r="O36" s="17">
        <v>43548</v>
      </c>
      <c r="P36" s="17">
        <v>43548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6">
        <f t="shared" si="2"/>
        <v>435480</v>
      </c>
      <c r="AM36" s="33" t="s">
        <v>92</v>
      </c>
      <c r="AN36" s="33" t="s">
        <v>118</v>
      </c>
    </row>
    <row r="37" spans="1:40" x14ac:dyDescent="0.2">
      <c r="A37" s="29" t="s">
        <v>34</v>
      </c>
      <c r="B37" s="34" t="s">
        <v>30</v>
      </c>
      <c r="C37" s="35" t="s">
        <v>210</v>
      </c>
      <c r="D37" s="31" t="s">
        <v>68</v>
      </c>
      <c r="E37" s="36" t="s">
        <v>74</v>
      </c>
      <c r="F37" s="36" t="s">
        <v>211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>
        <v>100000</v>
      </c>
      <c r="AB37" s="17">
        <v>100000</v>
      </c>
      <c r="AC37" s="17">
        <v>100000</v>
      </c>
      <c r="AD37" s="17">
        <v>100000</v>
      </c>
      <c r="AE37" s="17"/>
      <c r="AF37" s="17"/>
      <c r="AG37" s="17"/>
      <c r="AH37" s="17"/>
      <c r="AI37" s="17"/>
      <c r="AJ37" s="17"/>
      <c r="AK37" s="17"/>
      <c r="AL37" s="16">
        <f t="shared" si="2"/>
        <v>400000</v>
      </c>
      <c r="AM37" s="33" t="s">
        <v>91</v>
      </c>
      <c r="AN37" s="33" t="s">
        <v>103</v>
      </c>
    </row>
    <row r="38" spans="1:40" x14ac:dyDescent="0.2">
      <c r="A38" s="29" t="s">
        <v>35</v>
      </c>
      <c r="B38" s="20" t="s">
        <v>32</v>
      </c>
      <c r="C38" s="21" t="s">
        <v>133</v>
      </c>
      <c r="D38" s="19" t="s">
        <v>64</v>
      </c>
      <c r="E38" s="22" t="s">
        <v>73</v>
      </c>
      <c r="F38" s="22" t="s">
        <v>72</v>
      </c>
      <c r="G38" s="16">
        <v>37634.408602150543</v>
      </c>
      <c r="H38" s="16">
        <v>37634.408602150543</v>
      </c>
      <c r="I38" s="16">
        <v>37634.408602150543</v>
      </c>
      <c r="J38" s="16">
        <v>37634.408602150543</v>
      </c>
      <c r="K38" s="16">
        <v>37634.408602150543</v>
      </c>
      <c r="L38" s="16">
        <v>37634.408602150543</v>
      </c>
      <c r="M38" s="16">
        <v>37634.408602150543</v>
      </c>
      <c r="N38" s="16">
        <v>37634.408602150543</v>
      </c>
      <c r="O38" s="16">
        <v>37634.408602150543</v>
      </c>
      <c r="P38" s="16">
        <v>37634.408602150543</v>
      </c>
      <c r="Q38" s="16">
        <v>37634.408602150543</v>
      </c>
      <c r="R38" s="16">
        <v>37634.408602150543</v>
      </c>
      <c r="S38" s="16">
        <v>37634.408602150543</v>
      </c>
      <c r="T38" s="16">
        <v>37634.408602150543</v>
      </c>
      <c r="U38" s="16">
        <v>37634.408602150543</v>
      </c>
      <c r="V38" s="16">
        <v>37634.408602150543</v>
      </c>
      <c r="W38" s="16">
        <v>37634.408602150543</v>
      </c>
      <c r="X38" s="16">
        <v>37634.408602150543</v>
      </c>
      <c r="Y38" s="16">
        <v>37634.408602150543</v>
      </c>
      <c r="Z38" s="16">
        <v>37634.408602150543</v>
      </c>
      <c r="AA38" s="16">
        <v>37634.408602150543</v>
      </c>
      <c r="AB38" s="16">
        <v>37634.408602150543</v>
      </c>
      <c r="AC38" s="16">
        <v>37634.408602150543</v>
      </c>
      <c r="AD38" s="16">
        <v>37634.408602150543</v>
      </c>
      <c r="AE38" s="16">
        <v>37634.408602150543</v>
      </c>
      <c r="AF38" s="16">
        <v>37634.408602150543</v>
      </c>
      <c r="AG38" s="16">
        <v>37634.408602150543</v>
      </c>
      <c r="AH38" s="16">
        <v>37634.408602150543</v>
      </c>
      <c r="AI38" s="16">
        <v>37634.408602150543</v>
      </c>
      <c r="AJ38" s="16">
        <v>37634.408602150543</v>
      </c>
      <c r="AK38" s="15">
        <v>37634.408602150543</v>
      </c>
      <c r="AL38" s="16">
        <f t="shared" si="2"/>
        <v>1166666.6666666667</v>
      </c>
      <c r="AM38" s="33" t="s">
        <v>99</v>
      </c>
      <c r="AN38" s="33" t="s">
        <v>103</v>
      </c>
    </row>
    <row r="39" spans="1:40" x14ac:dyDescent="0.2">
      <c r="A39" s="29" t="s">
        <v>36</v>
      </c>
      <c r="B39" s="34" t="s">
        <v>33</v>
      </c>
      <c r="C39" s="35" t="s">
        <v>141</v>
      </c>
      <c r="D39" s="31" t="s">
        <v>64</v>
      </c>
      <c r="E39" s="36" t="s">
        <v>74</v>
      </c>
      <c r="F39" s="36" t="s">
        <v>124</v>
      </c>
      <c r="G39" s="16">
        <v>37634.408602150543</v>
      </c>
      <c r="H39" s="16">
        <v>37634.408602150543</v>
      </c>
      <c r="I39" s="16">
        <v>37634.408602150543</v>
      </c>
      <c r="J39" s="16">
        <v>37634.408602150543</v>
      </c>
      <c r="K39" s="16">
        <v>37634.408602150543</v>
      </c>
      <c r="L39" s="16">
        <v>37634.408602150543</v>
      </c>
      <c r="M39" s="16">
        <v>37634.408602150543</v>
      </c>
      <c r="N39" s="17">
        <v>43548</v>
      </c>
      <c r="O39" s="17">
        <v>43548</v>
      </c>
      <c r="P39" s="17">
        <v>43548</v>
      </c>
      <c r="Q39" s="17">
        <v>43548</v>
      </c>
      <c r="R39" s="17">
        <v>43548</v>
      </c>
      <c r="S39" s="17">
        <v>43548</v>
      </c>
      <c r="T39" s="17">
        <v>43548</v>
      </c>
      <c r="U39" s="17">
        <v>43548</v>
      </c>
      <c r="V39" s="17">
        <v>43548</v>
      </c>
      <c r="W39" s="17">
        <v>43548</v>
      </c>
      <c r="X39" s="17">
        <v>43548</v>
      </c>
      <c r="Y39" s="17">
        <v>43548</v>
      </c>
      <c r="Z39" s="17">
        <v>43548</v>
      </c>
      <c r="AA39" s="17">
        <v>43548</v>
      </c>
      <c r="AB39" s="17">
        <v>43548</v>
      </c>
      <c r="AC39" s="17">
        <v>43548</v>
      </c>
      <c r="AD39" s="17">
        <v>43548</v>
      </c>
      <c r="AE39" s="17">
        <v>43548</v>
      </c>
      <c r="AF39" s="17">
        <v>43548</v>
      </c>
      <c r="AG39" s="17">
        <v>43548</v>
      </c>
      <c r="AH39" s="17">
        <v>43548</v>
      </c>
      <c r="AI39" s="17">
        <v>43548</v>
      </c>
      <c r="AJ39" s="17">
        <v>43548</v>
      </c>
      <c r="AK39" s="17">
        <v>43548</v>
      </c>
      <c r="AL39" s="16">
        <f t="shared" si="2"/>
        <v>1308592.8602150539</v>
      </c>
      <c r="AM39" s="33" t="s">
        <v>92</v>
      </c>
      <c r="AN39" s="33" t="s">
        <v>103</v>
      </c>
    </row>
    <row r="40" spans="1:40" x14ac:dyDescent="0.2">
      <c r="A40" s="29" t="s">
        <v>37</v>
      </c>
      <c r="B40" s="34" t="s">
        <v>34</v>
      </c>
      <c r="C40" s="35" t="s">
        <v>160</v>
      </c>
      <c r="D40" s="31" t="s">
        <v>64</v>
      </c>
      <c r="E40" s="36" t="s">
        <v>73</v>
      </c>
      <c r="F40" s="36" t="s">
        <v>161</v>
      </c>
      <c r="G40" s="17">
        <v>43548</v>
      </c>
      <c r="H40" s="17">
        <v>43548</v>
      </c>
      <c r="I40" s="17">
        <v>43548</v>
      </c>
      <c r="J40" s="17">
        <v>43548</v>
      </c>
      <c r="K40" s="17">
        <v>43548</v>
      </c>
      <c r="L40" s="17">
        <v>43548</v>
      </c>
      <c r="M40" s="17">
        <v>43548</v>
      </c>
      <c r="N40" s="17">
        <v>43548</v>
      </c>
      <c r="O40" s="17">
        <v>43548</v>
      </c>
      <c r="P40" s="17">
        <v>43548</v>
      </c>
      <c r="Q40" s="17">
        <v>43548</v>
      </c>
      <c r="R40" s="17">
        <v>43548</v>
      </c>
      <c r="S40" s="17">
        <v>43548</v>
      </c>
      <c r="T40" s="17">
        <v>43548</v>
      </c>
      <c r="U40" s="17">
        <v>43548</v>
      </c>
      <c r="V40" s="17">
        <v>43548</v>
      </c>
      <c r="W40" s="17">
        <v>43548</v>
      </c>
      <c r="X40" s="17">
        <v>43548</v>
      </c>
      <c r="Y40" s="17">
        <v>43548</v>
      </c>
      <c r="Z40" s="17">
        <v>43548</v>
      </c>
      <c r="AA40" s="17">
        <v>43548</v>
      </c>
      <c r="AB40" s="17">
        <v>43548</v>
      </c>
      <c r="AC40" s="17">
        <v>43548</v>
      </c>
      <c r="AD40" s="17">
        <v>43548</v>
      </c>
      <c r="AE40" s="17">
        <v>43548</v>
      </c>
      <c r="AF40" s="17">
        <v>43548</v>
      </c>
      <c r="AG40" s="17">
        <v>43548</v>
      </c>
      <c r="AH40" s="17">
        <v>43548</v>
      </c>
      <c r="AI40" s="17">
        <v>43548</v>
      </c>
      <c r="AJ40" s="17">
        <v>43548</v>
      </c>
      <c r="AK40" s="17">
        <v>43548</v>
      </c>
      <c r="AL40" s="16">
        <f t="shared" si="2"/>
        <v>1349988</v>
      </c>
      <c r="AM40" s="46" t="s">
        <v>92</v>
      </c>
      <c r="AN40" s="33" t="s">
        <v>103</v>
      </c>
    </row>
    <row r="41" spans="1:40" x14ac:dyDescent="0.2">
      <c r="A41" s="29" t="s">
        <v>38</v>
      </c>
      <c r="B41" s="34" t="s">
        <v>35</v>
      </c>
      <c r="C41" s="35" t="s">
        <v>180</v>
      </c>
      <c r="D41" s="31" t="s">
        <v>64</v>
      </c>
      <c r="E41" s="36" t="s">
        <v>117</v>
      </c>
      <c r="F41" s="36" t="s">
        <v>181</v>
      </c>
      <c r="G41" s="17">
        <v>43548</v>
      </c>
      <c r="H41" s="17">
        <v>43548</v>
      </c>
      <c r="I41" s="17">
        <v>43548</v>
      </c>
      <c r="J41" s="17">
        <v>43548</v>
      </c>
      <c r="K41" s="17">
        <v>43548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6">
        <f t="shared" si="2"/>
        <v>217740</v>
      </c>
      <c r="AM41" s="46" t="s">
        <v>92</v>
      </c>
      <c r="AN41" s="33" t="s">
        <v>118</v>
      </c>
    </row>
    <row r="42" spans="1:40" x14ac:dyDescent="0.2">
      <c r="A42" s="29" t="s">
        <v>39</v>
      </c>
      <c r="B42" s="34" t="s">
        <v>35</v>
      </c>
      <c r="C42" s="35" t="s">
        <v>196</v>
      </c>
      <c r="D42" s="31" t="s">
        <v>64</v>
      </c>
      <c r="E42" s="36" t="s">
        <v>73</v>
      </c>
      <c r="F42" s="36" t="s">
        <v>197</v>
      </c>
      <c r="G42" s="17"/>
      <c r="H42" s="17"/>
      <c r="I42" s="17"/>
      <c r="J42" s="17"/>
      <c r="K42" s="17"/>
      <c r="L42" s="17"/>
      <c r="M42" s="17"/>
      <c r="N42" s="17"/>
      <c r="O42" s="17"/>
      <c r="P42" s="17">
        <v>43548</v>
      </c>
      <c r="Q42" s="17">
        <v>43548</v>
      </c>
      <c r="R42" s="17">
        <v>43548</v>
      </c>
      <c r="S42" s="17">
        <v>43548</v>
      </c>
      <c r="T42" s="17">
        <v>43548</v>
      </c>
      <c r="U42" s="17">
        <v>43548</v>
      </c>
      <c r="V42" s="17">
        <v>43548</v>
      </c>
      <c r="W42" s="17">
        <v>43548</v>
      </c>
      <c r="X42" s="17">
        <v>43548</v>
      </c>
      <c r="Y42" s="17">
        <v>43548</v>
      </c>
      <c r="Z42" s="17">
        <v>43548</v>
      </c>
      <c r="AA42" s="17">
        <v>43548</v>
      </c>
      <c r="AB42" s="17">
        <v>43548</v>
      </c>
      <c r="AC42" s="17">
        <v>43548</v>
      </c>
      <c r="AD42" s="17">
        <v>43548</v>
      </c>
      <c r="AE42" s="17">
        <v>43548</v>
      </c>
      <c r="AF42" s="17">
        <v>43548</v>
      </c>
      <c r="AG42" s="17">
        <v>43548</v>
      </c>
      <c r="AH42" s="17">
        <v>43548</v>
      </c>
      <c r="AI42" s="17">
        <v>43548</v>
      </c>
      <c r="AJ42" s="17">
        <v>43548</v>
      </c>
      <c r="AK42" s="17">
        <v>43548</v>
      </c>
      <c r="AL42" s="16">
        <f t="shared" ref="AL42" si="8">SUM(G42:AK42)</f>
        <v>958056</v>
      </c>
      <c r="AM42" s="46" t="s">
        <v>92</v>
      </c>
      <c r="AN42" s="33" t="s">
        <v>103</v>
      </c>
    </row>
    <row r="43" spans="1:40" x14ac:dyDescent="0.2">
      <c r="A43" s="29" t="s">
        <v>40</v>
      </c>
      <c r="B43" s="34" t="s">
        <v>36</v>
      </c>
      <c r="C43" s="35" t="s">
        <v>142</v>
      </c>
      <c r="D43" s="31" t="s">
        <v>64</v>
      </c>
      <c r="E43" s="37" t="s">
        <v>73</v>
      </c>
      <c r="F43" s="36" t="s">
        <v>139</v>
      </c>
      <c r="G43" s="16">
        <v>37634.408602150543</v>
      </c>
      <c r="H43" s="16">
        <v>37634.408602150543</v>
      </c>
      <c r="I43" s="16">
        <v>37634.408602150543</v>
      </c>
      <c r="J43" s="16">
        <v>37634.408602150543</v>
      </c>
      <c r="K43" s="16">
        <v>37634.408602150543</v>
      </c>
      <c r="L43" s="16">
        <v>37634.408602150543</v>
      </c>
      <c r="M43" s="16">
        <v>37634.408602150543</v>
      </c>
      <c r="N43" s="16">
        <v>37634.408602150543</v>
      </c>
      <c r="O43" s="16">
        <v>37634.408602150543</v>
      </c>
      <c r="P43" s="16">
        <v>37634.408602150543</v>
      </c>
      <c r="Q43" s="16">
        <v>37634.408602150543</v>
      </c>
      <c r="R43" s="16">
        <v>37634.408602150543</v>
      </c>
      <c r="S43" s="16">
        <v>37634.408602150543</v>
      </c>
      <c r="T43" s="16">
        <v>37634.408602150543</v>
      </c>
      <c r="U43" s="16">
        <v>37634.408602150543</v>
      </c>
      <c r="V43" s="16">
        <v>37634.408602150543</v>
      </c>
      <c r="W43" s="16">
        <v>37634.408602150543</v>
      </c>
      <c r="X43" s="16">
        <v>37634.408602150543</v>
      </c>
      <c r="Y43" s="16">
        <v>37634.408602150543</v>
      </c>
      <c r="Z43" s="16">
        <v>37634.408602150543</v>
      </c>
      <c r="AA43" s="16">
        <v>37634.408602150543</v>
      </c>
      <c r="AB43" s="16">
        <v>37634.408602150543</v>
      </c>
      <c r="AC43" s="16">
        <v>37634.408602150543</v>
      </c>
      <c r="AD43" s="16">
        <v>37634.408602150543</v>
      </c>
      <c r="AE43" s="16">
        <v>37634.408602150543</v>
      </c>
      <c r="AF43" s="16">
        <v>37634.408602150543</v>
      </c>
      <c r="AG43" s="16">
        <v>37634.408602150543</v>
      </c>
      <c r="AH43" s="16">
        <v>37634.408602150543</v>
      </c>
      <c r="AI43" s="16">
        <v>37634.408602150543</v>
      </c>
      <c r="AJ43" s="16">
        <v>37634.408602150543</v>
      </c>
      <c r="AK43" s="16">
        <v>37634.408602150543</v>
      </c>
      <c r="AL43" s="16">
        <f t="shared" si="2"/>
        <v>1166666.6666666667</v>
      </c>
      <c r="AM43" s="46" t="s">
        <v>100</v>
      </c>
      <c r="AN43" s="33" t="s">
        <v>103</v>
      </c>
    </row>
    <row r="44" spans="1:40" x14ac:dyDescent="0.2">
      <c r="A44" s="29" t="s">
        <v>41</v>
      </c>
      <c r="B44" s="34" t="s">
        <v>37</v>
      </c>
      <c r="C44" s="35" t="s">
        <v>134</v>
      </c>
      <c r="D44" s="31" t="s">
        <v>64</v>
      </c>
      <c r="E44" s="36" t="s">
        <v>73</v>
      </c>
      <c r="F44" s="36" t="s">
        <v>126</v>
      </c>
      <c r="G44" s="15">
        <v>37634.408602150543</v>
      </c>
      <c r="H44" s="15">
        <v>37634.408602150543</v>
      </c>
      <c r="I44" s="15">
        <v>37634.408602150543</v>
      </c>
      <c r="J44" s="15">
        <v>37634.408602150543</v>
      </c>
      <c r="K44" s="15">
        <v>37634.408602150543</v>
      </c>
      <c r="L44" s="15">
        <v>37634.408602150543</v>
      </c>
      <c r="M44" s="15">
        <v>37634.408602150543</v>
      </c>
      <c r="N44" s="15">
        <v>37634.408602150543</v>
      </c>
      <c r="O44" s="15">
        <v>37634.408602150543</v>
      </c>
      <c r="P44" s="15">
        <v>37634.408602150543</v>
      </c>
      <c r="Q44" s="15">
        <v>37634.408602150543</v>
      </c>
      <c r="R44" s="15">
        <v>37634.408602150543</v>
      </c>
      <c r="S44" s="15">
        <v>37634.408602150543</v>
      </c>
      <c r="T44" s="15">
        <v>37634.408602150543</v>
      </c>
      <c r="U44" s="15">
        <v>37634.408602150543</v>
      </c>
      <c r="V44" s="15">
        <v>37634.408602150543</v>
      </c>
      <c r="W44" s="15">
        <v>37634.408602150543</v>
      </c>
      <c r="X44" s="15">
        <v>37634.408602150543</v>
      </c>
      <c r="Y44" s="15">
        <v>37634.408602150543</v>
      </c>
      <c r="Z44" s="15">
        <v>37634.408602150543</v>
      </c>
      <c r="AA44" s="15">
        <v>37634.408602150543</v>
      </c>
      <c r="AB44" s="15">
        <v>37634.408602150543</v>
      </c>
      <c r="AC44" s="15">
        <v>37634.408602150543</v>
      </c>
      <c r="AD44" s="15">
        <v>37634.408602150543</v>
      </c>
      <c r="AE44" s="15">
        <v>37634.408602150543</v>
      </c>
      <c r="AF44" s="15">
        <v>37634.408602150543</v>
      </c>
      <c r="AG44" s="15">
        <v>37634.408602150543</v>
      </c>
      <c r="AH44" s="15">
        <v>37634.408602150543</v>
      </c>
      <c r="AI44" s="15">
        <v>37634.408602150543</v>
      </c>
      <c r="AJ44" s="15">
        <v>37634.408602150543</v>
      </c>
      <c r="AK44" s="16">
        <v>37634.408602150543</v>
      </c>
      <c r="AL44" s="16">
        <f t="shared" si="2"/>
        <v>1166666.6666666667</v>
      </c>
      <c r="AM44" s="46" t="s">
        <v>100</v>
      </c>
      <c r="AN44" s="33" t="s">
        <v>103</v>
      </c>
    </row>
    <row r="45" spans="1:40" x14ac:dyDescent="0.2">
      <c r="A45" s="29" t="s">
        <v>42</v>
      </c>
      <c r="B45" s="34" t="s">
        <v>38</v>
      </c>
      <c r="C45" s="35" t="s">
        <v>122</v>
      </c>
      <c r="D45" s="31" t="s">
        <v>64</v>
      </c>
      <c r="E45" s="36" t="s">
        <v>74</v>
      </c>
      <c r="F45" s="36" t="s">
        <v>72</v>
      </c>
      <c r="G45" s="15">
        <v>36000</v>
      </c>
      <c r="H45" s="15">
        <v>36000</v>
      </c>
      <c r="I45" s="15">
        <v>36000</v>
      </c>
      <c r="J45" s="15">
        <v>36000</v>
      </c>
      <c r="K45" s="15">
        <v>36000</v>
      </c>
      <c r="L45" s="15">
        <v>36000</v>
      </c>
      <c r="M45" s="15">
        <v>36000</v>
      </c>
      <c r="N45" s="15">
        <v>36000</v>
      </c>
      <c r="O45" s="15">
        <v>36000</v>
      </c>
      <c r="P45" s="15">
        <v>36000</v>
      </c>
      <c r="Q45" s="15">
        <v>36000</v>
      </c>
      <c r="R45" s="15">
        <v>36000</v>
      </c>
      <c r="S45" s="15">
        <v>36000</v>
      </c>
      <c r="T45" s="15">
        <v>36000</v>
      </c>
      <c r="U45" s="15">
        <v>36000</v>
      </c>
      <c r="V45" s="15">
        <v>36000</v>
      </c>
      <c r="W45" s="15">
        <v>36000</v>
      </c>
      <c r="X45" s="15">
        <v>36000</v>
      </c>
      <c r="Y45" s="15">
        <v>36000</v>
      </c>
      <c r="Z45" s="15">
        <v>36000</v>
      </c>
      <c r="AA45" s="15">
        <v>36000</v>
      </c>
      <c r="AB45" s="15">
        <v>36000</v>
      </c>
      <c r="AC45" s="15">
        <v>36000</v>
      </c>
      <c r="AD45" s="15">
        <v>36000</v>
      </c>
      <c r="AE45" s="15">
        <v>36000</v>
      </c>
      <c r="AF45" s="15">
        <v>36000</v>
      </c>
      <c r="AG45" s="15">
        <v>36000</v>
      </c>
      <c r="AH45" s="15">
        <v>36000</v>
      </c>
      <c r="AI45" s="15">
        <v>36000</v>
      </c>
      <c r="AJ45" s="15">
        <v>36000</v>
      </c>
      <c r="AK45" s="15">
        <v>36000</v>
      </c>
      <c r="AL45" s="16">
        <f t="shared" si="2"/>
        <v>1116000</v>
      </c>
      <c r="AM45" s="46" t="s">
        <v>100</v>
      </c>
      <c r="AN45" s="33" t="s">
        <v>103</v>
      </c>
    </row>
    <row r="46" spans="1:40" x14ac:dyDescent="0.2">
      <c r="A46" s="29" t="s">
        <v>43</v>
      </c>
      <c r="B46" s="34" t="s">
        <v>39</v>
      </c>
      <c r="C46" s="35" t="s">
        <v>145</v>
      </c>
      <c r="D46" s="31" t="s">
        <v>64</v>
      </c>
      <c r="E46" s="36" t="s">
        <v>73</v>
      </c>
      <c r="F46" s="36" t="s">
        <v>97</v>
      </c>
      <c r="G46" s="17">
        <v>43548</v>
      </c>
      <c r="H46" s="17">
        <v>43548</v>
      </c>
      <c r="I46" s="17">
        <v>43548</v>
      </c>
      <c r="J46" s="17">
        <v>43548</v>
      </c>
      <c r="K46" s="17">
        <v>43548</v>
      </c>
      <c r="L46" s="17">
        <v>43548</v>
      </c>
      <c r="M46" s="17">
        <v>43548</v>
      </c>
      <c r="N46" s="17">
        <v>43548</v>
      </c>
      <c r="O46" s="17">
        <v>43548</v>
      </c>
      <c r="P46" s="17">
        <v>43548</v>
      </c>
      <c r="Q46" s="17">
        <v>43548</v>
      </c>
      <c r="R46" s="17">
        <v>43548</v>
      </c>
      <c r="S46" s="17">
        <v>43548</v>
      </c>
      <c r="T46" s="17">
        <v>43548</v>
      </c>
      <c r="U46" s="17">
        <v>43548</v>
      </c>
      <c r="V46" s="17">
        <v>43548</v>
      </c>
      <c r="W46" s="17">
        <v>43548</v>
      </c>
      <c r="X46" s="17">
        <v>43548</v>
      </c>
      <c r="Y46" s="17">
        <v>43548</v>
      </c>
      <c r="Z46" s="17">
        <v>43548</v>
      </c>
      <c r="AA46" s="17">
        <v>43548</v>
      </c>
      <c r="AB46" s="17">
        <v>43548</v>
      </c>
      <c r="AC46" s="17">
        <v>43548</v>
      </c>
      <c r="AD46" s="17">
        <v>43548</v>
      </c>
      <c r="AE46" s="17">
        <v>43548</v>
      </c>
      <c r="AF46" s="17">
        <v>43548</v>
      </c>
      <c r="AG46" s="17">
        <v>43548</v>
      </c>
      <c r="AH46" s="17">
        <v>43548</v>
      </c>
      <c r="AI46" s="17">
        <v>43548</v>
      </c>
      <c r="AJ46" s="17">
        <v>43548</v>
      </c>
      <c r="AK46" s="17">
        <v>43548</v>
      </c>
      <c r="AL46" s="16">
        <f t="shared" si="2"/>
        <v>1349988</v>
      </c>
      <c r="AM46" s="46" t="s">
        <v>92</v>
      </c>
      <c r="AN46" s="33" t="s">
        <v>103</v>
      </c>
    </row>
    <row r="47" spans="1:40" x14ac:dyDescent="0.2">
      <c r="A47" s="29" t="s">
        <v>44</v>
      </c>
      <c r="B47" s="34" t="s">
        <v>40</v>
      </c>
      <c r="C47" s="35" t="s">
        <v>192</v>
      </c>
      <c r="D47" s="31" t="s">
        <v>64</v>
      </c>
      <c r="E47" s="36" t="s">
        <v>74</v>
      </c>
      <c r="F47" s="36" t="s">
        <v>93</v>
      </c>
      <c r="G47" s="17"/>
      <c r="H47" s="17"/>
      <c r="I47" s="17"/>
      <c r="J47" s="17">
        <v>100000</v>
      </c>
      <c r="K47" s="17">
        <v>100000</v>
      </c>
      <c r="L47" s="17">
        <v>100000</v>
      </c>
      <c r="M47" s="17">
        <v>100000</v>
      </c>
      <c r="N47" s="17">
        <v>100000</v>
      </c>
      <c r="O47" s="17">
        <v>100000</v>
      </c>
      <c r="P47" s="17">
        <v>100000</v>
      </c>
      <c r="Q47" s="17">
        <v>100000</v>
      </c>
      <c r="R47" s="17">
        <v>100000</v>
      </c>
      <c r="S47" s="17">
        <v>100000</v>
      </c>
      <c r="T47" s="17">
        <v>100000</v>
      </c>
      <c r="U47" s="17">
        <v>100000</v>
      </c>
      <c r="V47" s="17">
        <v>100000</v>
      </c>
      <c r="W47" s="17">
        <v>100000</v>
      </c>
      <c r="X47" s="17">
        <v>100000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6">
        <f t="shared" si="2"/>
        <v>1500000</v>
      </c>
      <c r="AM47" s="46" t="s">
        <v>91</v>
      </c>
      <c r="AN47" s="33" t="s">
        <v>118</v>
      </c>
    </row>
    <row r="48" spans="1:40" x14ac:dyDescent="0.2">
      <c r="A48" s="29" t="s">
        <v>45</v>
      </c>
      <c r="B48" s="34" t="s">
        <v>41</v>
      </c>
      <c r="C48" s="35" t="s">
        <v>192</v>
      </c>
      <c r="D48" s="31" t="s">
        <v>64</v>
      </c>
      <c r="E48" s="36" t="s">
        <v>74</v>
      </c>
      <c r="F48" s="36" t="s">
        <v>93</v>
      </c>
      <c r="G48" s="17"/>
      <c r="H48" s="17"/>
      <c r="I48" s="17"/>
      <c r="J48" s="17">
        <v>100000</v>
      </c>
      <c r="K48" s="17">
        <v>100000</v>
      </c>
      <c r="L48" s="17">
        <v>100000</v>
      </c>
      <c r="M48" s="17">
        <v>100000</v>
      </c>
      <c r="N48" s="17">
        <v>100000</v>
      </c>
      <c r="O48" s="17">
        <v>100000</v>
      </c>
      <c r="P48" s="17">
        <v>100000</v>
      </c>
      <c r="Q48" s="17">
        <v>100000</v>
      </c>
      <c r="R48" s="17">
        <v>100000</v>
      </c>
      <c r="S48" s="17">
        <v>100000</v>
      </c>
      <c r="T48" s="17">
        <v>100000</v>
      </c>
      <c r="U48" s="17">
        <v>100000</v>
      </c>
      <c r="V48" s="17">
        <v>100000</v>
      </c>
      <c r="W48" s="17">
        <v>100000</v>
      </c>
      <c r="X48" s="17">
        <v>100000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6">
        <f t="shared" si="2"/>
        <v>1500000</v>
      </c>
      <c r="AM48" s="46" t="s">
        <v>91</v>
      </c>
      <c r="AN48" s="33" t="s">
        <v>118</v>
      </c>
    </row>
    <row r="49" spans="1:40" x14ac:dyDescent="0.2">
      <c r="A49" s="29" t="s">
        <v>46</v>
      </c>
      <c r="B49" s="34" t="s">
        <v>42</v>
      </c>
      <c r="C49" s="35" t="s">
        <v>193</v>
      </c>
      <c r="D49" s="31" t="s">
        <v>68</v>
      </c>
      <c r="E49" s="36" t="s">
        <v>74</v>
      </c>
      <c r="F49" s="36" t="s">
        <v>72</v>
      </c>
      <c r="G49" s="17"/>
      <c r="H49" s="17"/>
      <c r="I49" s="17"/>
      <c r="J49" s="17">
        <v>200000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6">
        <f t="shared" si="2"/>
        <v>200000</v>
      </c>
      <c r="AM49" s="33" t="s">
        <v>90</v>
      </c>
      <c r="AN49" s="33" t="s">
        <v>118</v>
      </c>
    </row>
    <row r="50" spans="1:40" x14ac:dyDescent="0.2">
      <c r="A50" s="29" t="s">
        <v>47</v>
      </c>
      <c r="B50" s="34" t="s">
        <v>43</v>
      </c>
      <c r="C50" s="35" t="s">
        <v>153</v>
      </c>
      <c r="D50" s="31" t="s">
        <v>64</v>
      </c>
      <c r="E50" s="36" t="s">
        <v>149</v>
      </c>
      <c r="F50" s="36" t="s">
        <v>144</v>
      </c>
      <c r="G50" s="17">
        <v>43548</v>
      </c>
      <c r="H50" s="17">
        <v>43548</v>
      </c>
      <c r="I50" s="17">
        <v>43548</v>
      </c>
      <c r="J50" s="17">
        <v>43548</v>
      </c>
      <c r="K50" s="17">
        <v>43548</v>
      </c>
      <c r="L50" s="17">
        <v>43548</v>
      </c>
      <c r="M50" s="17">
        <v>43548</v>
      </c>
      <c r="N50" s="17">
        <v>43548</v>
      </c>
      <c r="O50" s="17">
        <v>43548</v>
      </c>
      <c r="P50" s="17">
        <v>43548</v>
      </c>
      <c r="Q50" s="17">
        <v>43548</v>
      </c>
      <c r="R50" s="17">
        <v>43548</v>
      </c>
      <c r="S50" s="17">
        <v>43548</v>
      </c>
      <c r="T50" s="17">
        <v>43548</v>
      </c>
      <c r="U50" s="17">
        <v>43548</v>
      </c>
      <c r="V50" s="17">
        <v>43548</v>
      </c>
      <c r="W50" s="17">
        <v>43548</v>
      </c>
      <c r="X50" s="17">
        <v>43548</v>
      </c>
      <c r="Y50" s="17">
        <v>43548</v>
      </c>
      <c r="Z50" s="17">
        <v>43548</v>
      </c>
      <c r="AA50" s="17">
        <v>43548</v>
      </c>
      <c r="AB50" s="17">
        <v>43548</v>
      </c>
      <c r="AC50" s="17">
        <v>43548</v>
      </c>
      <c r="AD50" s="17">
        <v>43548</v>
      </c>
      <c r="AE50" s="17">
        <v>43548</v>
      </c>
      <c r="AF50" s="17">
        <v>43548</v>
      </c>
      <c r="AG50" s="17">
        <v>43548</v>
      </c>
      <c r="AH50" s="17">
        <v>43548</v>
      </c>
      <c r="AI50" s="17">
        <v>43548</v>
      </c>
      <c r="AJ50" s="17">
        <v>43548</v>
      </c>
      <c r="AK50" s="17">
        <v>43548</v>
      </c>
      <c r="AL50" s="16">
        <f t="shared" si="2"/>
        <v>1349988</v>
      </c>
      <c r="AM50" s="33" t="s">
        <v>92</v>
      </c>
      <c r="AN50" s="33" t="s">
        <v>103</v>
      </c>
    </row>
    <row r="51" spans="1:40" x14ac:dyDescent="0.2">
      <c r="A51" s="29" t="s">
        <v>48</v>
      </c>
      <c r="B51" s="34" t="s">
        <v>44</v>
      </c>
      <c r="C51" s="35" t="s">
        <v>175</v>
      </c>
      <c r="D51" s="31" t="s">
        <v>64</v>
      </c>
      <c r="E51" s="36" t="s">
        <v>117</v>
      </c>
      <c r="F51" s="36" t="s">
        <v>148</v>
      </c>
      <c r="G51" s="17">
        <v>43548</v>
      </c>
      <c r="H51" s="17">
        <v>43548</v>
      </c>
      <c r="I51" s="17">
        <v>43548</v>
      </c>
      <c r="J51" s="17">
        <v>43548</v>
      </c>
      <c r="K51" s="17">
        <v>43548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6">
        <f t="shared" si="2"/>
        <v>217740</v>
      </c>
      <c r="AM51" s="33" t="s">
        <v>92</v>
      </c>
      <c r="AN51" s="33" t="s">
        <v>118</v>
      </c>
    </row>
    <row r="52" spans="1:40" x14ac:dyDescent="0.2">
      <c r="A52" s="29" t="s">
        <v>49</v>
      </c>
      <c r="B52" s="34" t="s">
        <v>44</v>
      </c>
      <c r="C52" s="35" t="s">
        <v>205</v>
      </c>
      <c r="D52" s="31" t="s">
        <v>64</v>
      </c>
      <c r="E52" s="36" t="s">
        <v>73</v>
      </c>
      <c r="F52" s="36" t="s">
        <v>72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>
        <v>43548</v>
      </c>
      <c r="V52" s="17">
        <v>43548</v>
      </c>
      <c r="W52" s="17">
        <v>43548</v>
      </c>
      <c r="X52" s="17">
        <v>43548</v>
      </c>
      <c r="Y52" s="17">
        <v>43548</v>
      </c>
      <c r="Z52" s="17">
        <v>43548</v>
      </c>
      <c r="AA52" s="17">
        <v>43548</v>
      </c>
      <c r="AB52" s="17">
        <v>43548</v>
      </c>
      <c r="AC52" s="17">
        <v>43548</v>
      </c>
      <c r="AD52" s="17">
        <v>43548</v>
      </c>
      <c r="AE52" s="17">
        <v>43548</v>
      </c>
      <c r="AF52" s="17">
        <v>43548</v>
      </c>
      <c r="AG52" s="17">
        <v>43548</v>
      </c>
      <c r="AH52" s="17">
        <v>43548</v>
      </c>
      <c r="AI52" s="17">
        <v>43548</v>
      </c>
      <c r="AJ52" s="17">
        <v>43548</v>
      </c>
      <c r="AK52" s="17">
        <v>43548</v>
      </c>
      <c r="AL52" s="16">
        <f t="shared" ref="AL52" si="9">SUM(G52:AK52)</f>
        <v>740316</v>
      </c>
      <c r="AM52" s="33" t="s">
        <v>92</v>
      </c>
      <c r="AN52" s="33" t="s">
        <v>103</v>
      </c>
    </row>
    <row r="53" spans="1:40" x14ac:dyDescent="0.2">
      <c r="A53" s="29" t="s">
        <v>50</v>
      </c>
      <c r="B53" s="34" t="s">
        <v>45</v>
      </c>
      <c r="C53" s="35" t="s">
        <v>182</v>
      </c>
      <c r="D53" s="31" t="s">
        <v>64</v>
      </c>
      <c r="E53" s="36" t="s">
        <v>117</v>
      </c>
      <c r="F53" s="36" t="s">
        <v>72</v>
      </c>
      <c r="G53" s="17">
        <v>43548</v>
      </c>
      <c r="H53" s="17">
        <v>43548</v>
      </c>
      <c r="I53" s="17">
        <v>43548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6">
        <f t="shared" si="2"/>
        <v>130644</v>
      </c>
      <c r="AM53" s="33" t="s">
        <v>92</v>
      </c>
      <c r="AN53" s="33" t="s">
        <v>118</v>
      </c>
    </row>
    <row r="54" spans="1:40" x14ac:dyDescent="0.2">
      <c r="A54" s="29" t="s">
        <v>51</v>
      </c>
      <c r="B54" s="34" t="s">
        <v>45</v>
      </c>
      <c r="C54" s="35" t="s">
        <v>195</v>
      </c>
      <c r="D54" s="31" t="s">
        <v>64</v>
      </c>
      <c r="E54" s="36" t="s">
        <v>73</v>
      </c>
      <c r="F54" s="36" t="s">
        <v>94</v>
      </c>
      <c r="G54" s="17"/>
      <c r="H54" s="17"/>
      <c r="I54" s="17"/>
      <c r="J54" s="17"/>
      <c r="K54" s="17"/>
      <c r="L54" s="17"/>
      <c r="M54" s="17"/>
      <c r="N54" s="17">
        <v>43548</v>
      </c>
      <c r="O54" s="17">
        <v>43548</v>
      </c>
      <c r="P54" s="17">
        <v>43548</v>
      </c>
      <c r="Q54" s="17">
        <v>43548</v>
      </c>
      <c r="R54" s="17">
        <v>43548</v>
      </c>
      <c r="S54" s="17">
        <v>43548</v>
      </c>
      <c r="T54" s="17">
        <v>43548</v>
      </c>
      <c r="U54" s="17">
        <v>43548</v>
      </c>
      <c r="V54" s="17">
        <v>43548</v>
      </c>
      <c r="W54" s="17">
        <v>43548</v>
      </c>
      <c r="X54" s="17">
        <v>43548</v>
      </c>
      <c r="Y54" s="17">
        <v>43548</v>
      </c>
      <c r="Z54" s="17">
        <v>43548</v>
      </c>
      <c r="AA54" s="17">
        <v>43548</v>
      </c>
      <c r="AB54" s="17">
        <v>43548</v>
      </c>
      <c r="AC54" s="17">
        <v>43548</v>
      </c>
      <c r="AD54" s="17">
        <v>43548</v>
      </c>
      <c r="AE54" s="17">
        <v>43548</v>
      </c>
      <c r="AF54" s="17">
        <v>43548</v>
      </c>
      <c r="AG54" s="17">
        <v>43548</v>
      </c>
      <c r="AH54" s="17">
        <v>43548</v>
      </c>
      <c r="AI54" s="17">
        <v>43548</v>
      </c>
      <c r="AJ54" s="17">
        <v>43548</v>
      </c>
      <c r="AK54" s="17">
        <v>43548</v>
      </c>
      <c r="AL54" s="16">
        <f t="shared" ref="AL54:AL55" si="10">SUM(G54:AK54)</f>
        <v>1045152</v>
      </c>
      <c r="AM54" s="33" t="s">
        <v>92</v>
      </c>
      <c r="AN54" s="33" t="s">
        <v>103</v>
      </c>
    </row>
    <row r="55" spans="1:40" x14ac:dyDescent="0.2">
      <c r="A55" s="29" t="s">
        <v>52</v>
      </c>
      <c r="B55" s="34" t="s">
        <v>45</v>
      </c>
      <c r="C55" s="35" t="s">
        <v>193</v>
      </c>
      <c r="D55" s="31" t="s">
        <v>68</v>
      </c>
      <c r="E55" s="36" t="s">
        <v>74</v>
      </c>
      <c r="F55" s="36" t="s">
        <v>72</v>
      </c>
      <c r="G55" s="17"/>
      <c r="H55" s="17"/>
      <c r="I55" s="17"/>
      <c r="J55" s="17">
        <v>200000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6">
        <f t="shared" si="10"/>
        <v>200000</v>
      </c>
      <c r="AM55" s="33" t="s">
        <v>90</v>
      </c>
      <c r="AN55" s="33" t="s">
        <v>118</v>
      </c>
    </row>
    <row r="56" spans="1:40" x14ac:dyDescent="0.2">
      <c r="A56" s="29" t="s">
        <v>53</v>
      </c>
      <c r="B56" s="34" t="s">
        <v>46</v>
      </c>
      <c r="C56" s="35" t="s">
        <v>184</v>
      </c>
      <c r="D56" s="31" t="s">
        <v>64</v>
      </c>
      <c r="E56" s="36" t="s">
        <v>74</v>
      </c>
      <c r="F56" s="36" t="s">
        <v>116</v>
      </c>
      <c r="G56" s="17">
        <v>43548</v>
      </c>
      <c r="H56" s="17">
        <v>43548</v>
      </c>
      <c r="I56" s="17">
        <v>43548</v>
      </c>
      <c r="J56" s="17">
        <v>43548</v>
      </c>
      <c r="K56" s="17">
        <v>43548</v>
      </c>
      <c r="L56" s="17">
        <v>43548</v>
      </c>
      <c r="M56" s="17">
        <v>43548</v>
      </c>
      <c r="N56" s="17">
        <v>43548</v>
      </c>
      <c r="O56" s="17">
        <v>43548</v>
      </c>
      <c r="P56" s="17">
        <v>43548</v>
      </c>
      <c r="Q56" s="17">
        <v>43548</v>
      </c>
      <c r="R56" s="17">
        <v>43548</v>
      </c>
      <c r="S56" s="17">
        <v>43548</v>
      </c>
      <c r="T56" s="17">
        <v>43548</v>
      </c>
      <c r="U56" s="17">
        <v>43548</v>
      </c>
      <c r="V56" s="17">
        <v>43548</v>
      </c>
      <c r="W56" s="17">
        <v>43548</v>
      </c>
      <c r="X56" s="17">
        <v>43548</v>
      </c>
      <c r="Y56" s="17">
        <v>43548</v>
      </c>
      <c r="Z56" s="17">
        <v>43548</v>
      </c>
      <c r="AA56" s="17">
        <v>43548</v>
      </c>
      <c r="AB56" s="17">
        <v>43548</v>
      </c>
      <c r="AC56" s="17">
        <v>43548</v>
      </c>
      <c r="AD56" s="17">
        <v>43548</v>
      </c>
      <c r="AE56" s="17">
        <v>43548</v>
      </c>
      <c r="AF56" s="17">
        <v>43548</v>
      </c>
      <c r="AG56" s="17">
        <v>43548</v>
      </c>
      <c r="AH56" s="17">
        <v>43548</v>
      </c>
      <c r="AI56" s="17">
        <v>43548</v>
      </c>
      <c r="AJ56" s="17">
        <v>43548</v>
      </c>
      <c r="AK56" s="17">
        <v>43548</v>
      </c>
      <c r="AL56" s="16">
        <f t="shared" si="2"/>
        <v>1349988</v>
      </c>
      <c r="AM56" s="33" t="s">
        <v>92</v>
      </c>
      <c r="AN56" s="33" t="s">
        <v>103</v>
      </c>
    </row>
    <row r="57" spans="1:40" x14ac:dyDescent="0.2">
      <c r="A57" s="29" t="s">
        <v>54</v>
      </c>
      <c r="B57" s="34" t="s">
        <v>47</v>
      </c>
      <c r="C57" s="35" t="s">
        <v>170</v>
      </c>
      <c r="D57" s="31" t="s">
        <v>64</v>
      </c>
      <c r="E57" s="36" t="s">
        <v>117</v>
      </c>
      <c r="F57" s="36" t="s">
        <v>154</v>
      </c>
      <c r="G57" s="17">
        <v>43548</v>
      </c>
      <c r="H57" s="17">
        <v>43548</v>
      </c>
      <c r="I57" s="17">
        <v>43548</v>
      </c>
      <c r="J57" s="17">
        <v>43548</v>
      </c>
      <c r="K57" s="17">
        <v>43548</v>
      </c>
      <c r="L57" s="17">
        <v>43548</v>
      </c>
      <c r="M57" s="17">
        <v>43548</v>
      </c>
      <c r="N57" s="17">
        <v>43548</v>
      </c>
      <c r="O57" s="17">
        <v>43548</v>
      </c>
      <c r="P57" s="17">
        <v>43548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6">
        <f t="shared" si="2"/>
        <v>435480</v>
      </c>
      <c r="AM57" s="33" t="s">
        <v>92</v>
      </c>
      <c r="AN57" s="13" t="s">
        <v>118</v>
      </c>
    </row>
    <row r="58" spans="1:40" x14ac:dyDescent="0.2">
      <c r="A58" s="29" t="s">
        <v>55</v>
      </c>
      <c r="B58" s="34" t="s">
        <v>47</v>
      </c>
      <c r="C58" s="35" t="s">
        <v>203</v>
      </c>
      <c r="D58" s="31" t="s">
        <v>64</v>
      </c>
      <c r="E58" s="36" t="s">
        <v>204</v>
      </c>
      <c r="F58" s="36" t="s">
        <v>97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>
        <v>43548</v>
      </c>
      <c r="U58" s="17">
        <v>43548</v>
      </c>
      <c r="V58" s="17">
        <v>43548</v>
      </c>
      <c r="W58" s="17">
        <v>43548</v>
      </c>
      <c r="X58" s="17">
        <v>43548</v>
      </c>
      <c r="Y58" s="17">
        <v>43548</v>
      </c>
      <c r="Z58" s="17">
        <v>43548</v>
      </c>
      <c r="AA58" s="17">
        <v>43548</v>
      </c>
      <c r="AB58" s="17">
        <v>43548</v>
      </c>
      <c r="AC58" s="17">
        <v>43548</v>
      </c>
      <c r="AD58" s="17">
        <v>43548</v>
      </c>
      <c r="AE58" s="17">
        <v>43548</v>
      </c>
      <c r="AF58" s="17">
        <v>43548</v>
      </c>
      <c r="AG58" s="17">
        <v>43548</v>
      </c>
      <c r="AH58" s="17">
        <v>43548</v>
      </c>
      <c r="AI58" s="17">
        <v>43548</v>
      </c>
      <c r="AJ58" s="17">
        <v>43548</v>
      </c>
      <c r="AK58" s="17">
        <v>43548</v>
      </c>
      <c r="AL58" s="16">
        <f t="shared" ref="AL58" si="11">SUM(G58:AK58)</f>
        <v>783864</v>
      </c>
      <c r="AM58" s="33" t="s">
        <v>92</v>
      </c>
      <c r="AN58" s="33" t="s">
        <v>103</v>
      </c>
    </row>
    <row r="59" spans="1:40" x14ac:dyDescent="0.2">
      <c r="A59" s="29" t="s">
        <v>56</v>
      </c>
      <c r="B59" s="34" t="s">
        <v>48</v>
      </c>
      <c r="C59" s="35" t="s">
        <v>147</v>
      </c>
      <c r="D59" s="31" t="s">
        <v>64</v>
      </c>
      <c r="E59" s="36" t="s">
        <v>73</v>
      </c>
      <c r="F59" s="36" t="s">
        <v>74</v>
      </c>
      <c r="G59" s="17">
        <v>43548</v>
      </c>
      <c r="H59" s="17">
        <v>43548</v>
      </c>
      <c r="I59" s="17">
        <v>43548</v>
      </c>
      <c r="J59" s="17">
        <v>43548</v>
      </c>
      <c r="K59" s="17">
        <v>43548</v>
      </c>
      <c r="L59" s="17">
        <v>43548</v>
      </c>
      <c r="M59" s="17">
        <v>43548</v>
      </c>
      <c r="N59" s="17">
        <v>43548</v>
      </c>
      <c r="O59" s="17">
        <v>43548</v>
      </c>
      <c r="P59" s="17">
        <v>43548</v>
      </c>
      <c r="Q59" s="17">
        <v>43548</v>
      </c>
      <c r="R59" s="17">
        <v>43548</v>
      </c>
      <c r="S59" s="17">
        <v>43548</v>
      </c>
      <c r="T59" s="17">
        <v>43548</v>
      </c>
      <c r="U59" s="17">
        <v>43548</v>
      </c>
      <c r="V59" s="17">
        <v>43548</v>
      </c>
      <c r="W59" s="17">
        <v>43548</v>
      </c>
      <c r="X59" s="17">
        <v>43548</v>
      </c>
      <c r="Y59" s="17">
        <v>43548</v>
      </c>
      <c r="Z59" s="17">
        <v>43548</v>
      </c>
      <c r="AA59" s="17">
        <v>43548</v>
      </c>
      <c r="AB59" s="17">
        <v>43548</v>
      </c>
      <c r="AC59" s="17">
        <v>43548</v>
      </c>
      <c r="AD59" s="17">
        <v>43548</v>
      </c>
      <c r="AE59" s="17">
        <v>43548</v>
      </c>
      <c r="AF59" s="17">
        <v>43548</v>
      </c>
      <c r="AG59" s="17">
        <v>43548</v>
      </c>
      <c r="AH59" s="17">
        <v>43548</v>
      </c>
      <c r="AI59" s="17">
        <v>43548</v>
      </c>
      <c r="AJ59" s="17">
        <v>43548</v>
      </c>
      <c r="AK59" s="17">
        <v>43548</v>
      </c>
      <c r="AL59" s="16">
        <f t="shared" si="2"/>
        <v>1349988</v>
      </c>
      <c r="AM59" s="33" t="s">
        <v>92</v>
      </c>
      <c r="AN59" s="33" t="s">
        <v>103</v>
      </c>
    </row>
    <row r="60" spans="1:40" x14ac:dyDescent="0.2">
      <c r="A60" s="29" t="s">
        <v>57</v>
      </c>
      <c r="B60" s="34" t="s">
        <v>49</v>
      </c>
      <c r="C60" s="35" t="s">
        <v>135</v>
      </c>
      <c r="D60" s="31" t="s">
        <v>64</v>
      </c>
      <c r="E60" s="36" t="s">
        <v>73</v>
      </c>
      <c r="F60" s="36" t="s">
        <v>72</v>
      </c>
      <c r="G60" s="16">
        <v>37634.408602150543</v>
      </c>
      <c r="H60" s="16">
        <v>37634.408602150543</v>
      </c>
      <c r="I60" s="16">
        <v>37634.408602150543</v>
      </c>
      <c r="J60" s="16">
        <v>37634.408602150543</v>
      </c>
      <c r="K60" s="16">
        <v>37634.408602150543</v>
      </c>
      <c r="L60" s="16">
        <v>37634.408602150543</v>
      </c>
      <c r="M60" s="16">
        <v>37634.408602150543</v>
      </c>
      <c r="N60" s="16">
        <v>37634.408602150543</v>
      </c>
      <c r="O60" s="16">
        <v>37634.408602150543</v>
      </c>
      <c r="P60" s="16">
        <v>37634.408602150543</v>
      </c>
      <c r="Q60" s="16">
        <v>37634.408602150543</v>
      </c>
      <c r="R60" s="16">
        <v>37634.408602150543</v>
      </c>
      <c r="S60" s="16">
        <v>37634.408602150543</v>
      </c>
      <c r="T60" s="16">
        <v>37634.408602150543</v>
      </c>
      <c r="U60" s="16">
        <v>37634.408602150543</v>
      </c>
      <c r="V60" s="16">
        <v>37634.408602150543</v>
      </c>
      <c r="W60" s="16">
        <v>37634.408602150543</v>
      </c>
      <c r="X60" s="16">
        <v>37634.408602150543</v>
      </c>
      <c r="Y60" s="16">
        <v>37634.408602150543</v>
      </c>
      <c r="Z60" s="16">
        <v>37634.408602150543</v>
      </c>
      <c r="AA60" s="16">
        <v>37634.408602150543</v>
      </c>
      <c r="AB60" s="16">
        <v>37634.408602150543</v>
      </c>
      <c r="AC60" s="16">
        <v>37634.408602150543</v>
      </c>
      <c r="AD60" s="16">
        <v>37634.408602150543</v>
      </c>
      <c r="AE60" s="16">
        <v>37634.408602150543</v>
      </c>
      <c r="AF60" s="16">
        <v>37634.408602150543</v>
      </c>
      <c r="AG60" s="16">
        <v>37634.408602150543</v>
      </c>
      <c r="AH60" s="16">
        <v>37634.408602150543</v>
      </c>
      <c r="AI60" s="16">
        <v>37634.408602150543</v>
      </c>
      <c r="AJ60" s="16">
        <v>37634.408602150543</v>
      </c>
      <c r="AK60" s="16">
        <v>37634.408602150543</v>
      </c>
      <c r="AL60" s="16">
        <f t="shared" si="2"/>
        <v>1166666.6666666667</v>
      </c>
      <c r="AM60" s="33" t="s">
        <v>100</v>
      </c>
      <c r="AN60" s="33" t="s">
        <v>103</v>
      </c>
    </row>
    <row r="61" spans="1:40" x14ac:dyDescent="0.2">
      <c r="A61" s="29" t="s">
        <v>58</v>
      </c>
      <c r="B61" s="34" t="s">
        <v>50</v>
      </c>
      <c r="C61" s="35" t="s">
        <v>168</v>
      </c>
      <c r="D61" s="31" t="s">
        <v>64</v>
      </c>
      <c r="E61" s="36" t="s">
        <v>117</v>
      </c>
      <c r="F61" s="36" t="s">
        <v>169</v>
      </c>
      <c r="G61" s="17">
        <v>43548</v>
      </c>
      <c r="H61" s="17">
        <v>43548</v>
      </c>
      <c r="I61" s="17">
        <v>43548</v>
      </c>
      <c r="J61" s="17">
        <v>43548</v>
      </c>
      <c r="K61" s="17">
        <v>43548</v>
      </c>
      <c r="L61" s="17">
        <v>43548</v>
      </c>
      <c r="M61" s="17">
        <v>43548</v>
      </c>
      <c r="N61" s="17">
        <v>43548</v>
      </c>
      <c r="O61" s="17">
        <v>43548</v>
      </c>
      <c r="P61" s="17">
        <v>43548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6">
        <f t="shared" si="2"/>
        <v>435480</v>
      </c>
      <c r="AM61" s="33" t="s">
        <v>92</v>
      </c>
      <c r="AN61" s="13" t="s">
        <v>118</v>
      </c>
    </row>
    <row r="62" spans="1:40" x14ac:dyDescent="0.2">
      <c r="A62" s="29" t="s">
        <v>59</v>
      </c>
      <c r="B62" s="34" t="s">
        <v>50</v>
      </c>
      <c r="C62" s="35" t="s">
        <v>198</v>
      </c>
      <c r="D62" s="31" t="s">
        <v>64</v>
      </c>
      <c r="E62" s="36" t="s">
        <v>73</v>
      </c>
      <c r="F62" s="36" t="s">
        <v>199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>
        <v>43548</v>
      </c>
      <c r="S62" s="17">
        <v>43548</v>
      </c>
      <c r="T62" s="17">
        <v>43548</v>
      </c>
      <c r="U62" s="17">
        <v>43548</v>
      </c>
      <c r="V62" s="17">
        <v>43548</v>
      </c>
      <c r="W62" s="17">
        <v>43548</v>
      </c>
      <c r="X62" s="17">
        <v>43548</v>
      </c>
      <c r="Y62" s="17">
        <v>43548</v>
      </c>
      <c r="Z62" s="17">
        <v>43548</v>
      </c>
      <c r="AA62" s="17">
        <v>43548</v>
      </c>
      <c r="AB62" s="17">
        <v>43548</v>
      </c>
      <c r="AC62" s="17">
        <v>43548</v>
      </c>
      <c r="AD62" s="17">
        <v>43548</v>
      </c>
      <c r="AE62" s="17">
        <v>43548</v>
      </c>
      <c r="AF62" s="17">
        <v>43548</v>
      </c>
      <c r="AG62" s="17">
        <v>43548</v>
      </c>
      <c r="AH62" s="17">
        <v>43548</v>
      </c>
      <c r="AI62" s="17">
        <v>43548</v>
      </c>
      <c r="AJ62" s="17">
        <v>43548</v>
      </c>
      <c r="AK62" s="17">
        <v>43548</v>
      </c>
      <c r="AL62" s="16"/>
      <c r="AM62" s="33" t="s">
        <v>92</v>
      </c>
      <c r="AN62" s="13" t="s">
        <v>103</v>
      </c>
    </row>
    <row r="63" spans="1:40" x14ac:dyDescent="0.2">
      <c r="A63" s="29" t="s">
        <v>60</v>
      </c>
      <c r="B63" s="34" t="s">
        <v>51</v>
      </c>
      <c r="C63" s="35" t="s">
        <v>178</v>
      </c>
      <c r="D63" s="31" t="s">
        <v>64</v>
      </c>
      <c r="E63" s="36" t="s">
        <v>117</v>
      </c>
      <c r="F63" s="36" t="s">
        <v>179</v>
      </c>
      <c r="G63" s="17">
        <v>43548</v>
      </c>
      <c r="H63" s="17">
        <v>43548</v>
      </c>
      <c r="I63" s="17">
        <v>43548</v>
      </c>
      <c r="J63" s="17">
        <v>43548</v>
      </c>
      <c r="K63" s="17">
        <v>43548</v>
      </c>
      <c r="L63" s="17">
        <v>43548</v>
      </c>
      <c r="M63" s="17">
        <v>43548</v>
      </c>
      <c r="N63" s="17">
        <v>43548</v>
      </c>
      <c r="O63" s="17">
        <v>43548</v>
      </c>
      <c r="P63" s="17">
        <v>43548</v>
      </c>
      <c r="Q63" s="17">
        <v>43548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6">
        <f t="shared" si="2"/>
        <v>479028</v>
      </c>
      <c r="AM63" s="33" t="s">
        <v>92</v>
      </c>
      <c r="AN63" s="33" t="s">
        <v>118</v>
      </c>
    </row>
    <row r="64" spans="1:40" x14ac:dyDescent="0.2">
      <c r="A64" s="29" t="s">
        <v>155</v>
      </c>
      <c r="B64" s="34" t="s">
        <v>52</v>
      </c>
      <c r="C64" s="35" t="s">
        <v>176</v>
      </c>
      <c r="D64" s="31" t="s">
        <v>64</v>
      </c>
      <c r="E64" s="36" t="s">
        <v>117</v>
      </c>
      <c r="F64" s="36" t="s">
        <v>177</v>
      </c>
      <c r="G64" s="17">
        <v>43548</v>
      </c>
      <c r="H64" s="17">
        <v>43548</v>
      </c>
      <c r="I64" s="17">
        <v>43548</v>
      </c>
      <c r="J64" s="17">
        <v>43548</v>
      </c>
      <c r="K64" s="17">
        <v>43548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6">
        <f t="shared" si="2"/>
        <v>217740</v>
      </c>
      <c r="AM64" s="33" t="s">
        <v>92</v>
      </c>
      <c r="AN64" s="13" t="s">
        <v>118</v>
      </c>
    </row>
    <row r="65" spans="1:40" x14ac:dyDescent="0.2">
      <c r="A65" s="29" t="s">
        <v>156</v>
      </c>
      <c r="B65" s="34" t="s">
        <v>52</v>
      </c>
      <c r="C65" s="35" t="s">
        <v>212</v>
      </c>
      <c r="D65" s="31" t="s">
        <v>64</v>
      </c>
      <c r="E65" s="36" t="s">
        <v>74</v>
      </c>
      <c r="F65" s="36" t="s">
        <v>125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>
        <v>100000</v>
      </c>
      <c r="AB65" s="17">
        <v>100000</v>
      </c>
      <c r="AC65" s="17">
        <v>100000</v>
      </c>
      <c r="AD65" s="17">
        <v>100000</v>
      </c>
      <c r="AE65" s="17">
        <v>100000</v>
      </c>
      <c r="AF65" s="17">
        <v>100000</v>
      </c>
      <c r="AG65" s="17">
        <v>100000</v>
      </c>
      <c r="AH65" s="17"/>
      <c r="AI65" s="17"/>
      <c r="AJ65" s="17"/>
      <c r="AK65" s="17"/>
      <c r="AL65" s="16">
        <f t="shared" si="2"/>
        <v>700000</v>
      </c>
      <c r="AM65" s="33" t="s">
        <v>91</v>
      </c>
      <c r="AN65" s="13" t="s">
        <v>103</v>
      </c>
    </row>
    <row r="66" spans="1:40" x14ac:dyDescent="0.2">
      <c r="A66" s="29" t="s">
        <v>157</v>
      </c>
      <c r="B66" s="34" t="s">
        <v>53</v>
      </c>
      <c r="C66" s="35" t="s">
        <v>138</v>
      </c>
      <c r="D66" s="31" t="s">
        <v>64</v>
      </c>
      <c r="E66" s="36" t="s">
        <v>73</v>
      </c>
      <c r="F66" s="36" t="s">
        <v>131</v>
      </c>
      <c r="G66" s="16">
        <v>37634.408602150543</v>
      </c>
      <c r="H66" s="16">
        <v>37634.408602150543</v>
      </c>
      <c r="I66" s="16">
        <v>37634.408602150543</v>
      </c>
      <c r="J66" s="16">
        <v>37634.408602150543</v>
      </c>
      <c r="K66" s="16">
        <v>37634.408602150543</v>
      </c>
      <c r="L66" s="16">
        <v>37634.408602150543</v>
      </c>
      <c r="M66" s="16">
        <v>37634.408602150543</v>
      </c>
      <c r="N66" s="16">
        <v>37634.408602150543</v>
      </c>
      <c r="O66" s="16">
        <v>37634.408602150543</v>
      </c>
      <c r="P66" s="16">
        <v>37634.408602150543</v>
      </c>
      <c r="Q66" s="16">
        <v>37634.408602150543</v>
      </c>
      <c r="R66" s="16">
        <v>37634.408602150543</v>
      </c>
      <c r="S66" s="16">
        <v>37634.408602150543</v>
      </c>
      <c r="T66" s="16">
        <v>37634.408602150543</v>
      </c>
      <c r="U66" s="16">
        <v>37634.408602150543</v>
      </c>
      <c r="V66" s="16">
        <v>37634.408602150543</v>
      </c>
      <c r="W66" s="16">
        <v>37634.408602150543</v>
      </c>
      <c r="X66" s="16">
        <v>37634.408602150543</v>
      </c>
      <c r="Y66" s="16">
        <v>37634.408602150543</v>
      </c>
      <c r="Z66" s="16">
        <v>37634.408602150543</v>
      </c>
      <c r="AA66" s="16">
        <v>37634.408602150543</v>
      </c>
      <c r="AB66" s="16">
        <v>37634.408602150543</v>
      </c>
      <c r="AC66" s="16">
        <v>37634.408602150543</v>
      </c>
      <c r="AD66" s="16">
        <v>37634.408602150543</v>
      </c>
      <c r="AE66" s="16">
        <v>37634.408602150543</v>
      </c>
      <c r="AF66" s="16">
        <v>37634.408602150543</v>
      </c>
      <c r="AG66" s="16">
        <v>37634.408602150543</v>
      </c>
      <c r="AH66" s="16">
        <v>37634.408602150543</v>
      </c>
      <c r="AI66" s="16">
        <v>37634.408602150543</v>
      </c>
      <c r="AJ66" s="16">
        <v>37634.408602150543</v>
      </c>
      <c r="AK66" s="16">
        <v>37634.408602150543</v>
      </c>
      <c r="AL66" s="16">
        <f t="shared" si="2"/>
        <v>1166666.6666666667</v>
      </c>
      <c r="AM66" s="32" t="s">
        <v>100</v>
      </c>
      <c r="AN66" s="13" t="s">
        <v>103</v>
      </c>
    </row>
    <row r="67" spans="1:40" x14ac:dyDescent="0.2">
      <c r="A67" s="29" t="s">
        <v>158</v>
      </c>
      <c r="B67" s="34" t="s">
        <v>55</v>
      </c>
      <c r="C67" s="35" t="s">
        <v>173</v>
      </c>
      <c r="D67" s="31" t="s">
        <v>64</v>
      </c>
      <c r="E67" s="36" t="s">
        <v>117</v>
      </c>
      <c r="F67" s="36" t="s">
        <v>174</v>
      </c>
      <c r="G67" s="17">
        <v>43548</v>
      </c>
      <c r="H67" s="17">
        <v>43548</v>
      </c>
      <c r="I67" s="17">
        <v>43548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6">
        <f t="shared" si="2"/>
        <v>130644</v>
      </c>
      <c r="AM67" s="33" t="s">
        <v>92</v>
      </c>
      <c r="AN67" s="13" t="s">
        <v>118</v>
      </c>
    </row>
    <row r="68" spans="1:40" x14ac:dyDescent="0.2">
      <c r="A68" s="29" t="s">
        <v>159</v>
      </c>
      <c r="B68" s="34" t="s">
        <v>55</v>
      </c>
      <c r="C68" s="35" t="s">
        <v>193</v>
      </c>
      <c r="D68" s="31" t="s">
        <v>68</v>
      </c>
      <c r="E68" s="36" t="s">
        <v>74</v>
      </c>
      <c r="F68" s="36" t="s">
        <v>72</v>
      </c>
      <c r="G68" s="17"/>
      <c r="H68" s="17"/>
      <c r="I68" s="17"/>
      <c r="J68" s="17">
        <v>200000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6">
        <f t="shared" si="2"/>
        <v>200000</v>
      </c>
      <c r="AM68" s="33" t="s">
        <v>90</v>
      </c>
      <c r="AN68" s="13" t="s">
        <v>118</v>
      </c>
    </row>
    <row r="69" spans="1:40" x14ac:dyDescent="0.2">
      <c r="A69" s="29" t="s">
        <v>206</v>
      </c>
      <c r="B69" s="34" t="s">
        <v>55</v>
      </c>
      <c r="C69" s="35" t="s">
        <v>201</v>
      </c>
      <c r="D69" s="31" t="s">
        <v>64</v>
      </c>
      <c r="E69" s="36" t="s">
        <v>73</v>
      </c>
      <c r="F69" s="36" t="s">
        <v>72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>
        <v>43548</v>
      </c>
      <c r="T69" s="17">
        <v>43548</v>
      </c>
      <c r="U69" s="17">
        <v>43548</v>
      </c>
      <c r="V69" s="17">
        <v>43548</v>
      </c>
      <c r="W69" s="17">
        <v>43548</v>
      </c>
      <c r="X69" s="17">
        <v>43548</v>
      </c>
      <c r="Y69" s="17">
        <v>43548</v>
      </c>
      <c r="Z69" s="17">
        <v>43548</v>
      </c>
      <c r="AA69" s="17">
        <v>43548</v>
      </c>
      <c r="AB69" s="17">
        <v>43548</v>
      </c>
      <c r="AC69" s="17">
        <v>43548</v>
      </c>
      <c r="AD69" s="17">
        <v>43548</v>
      </c>
      <c r="AE69" s="17">
        <v>43548</v>
      </c>
      <c r="AF69" s="17">
        <v>43548</v>
      </c>
      <c r="AG69" s="17">
        <v>43548</v>
      </c>
      <c r="AH69" s="17">
        <v>43548</v>
      </c>
      <c r="AI69" s="17">
        <v>43548</v>
      </c>
      <c r="AJ69" s="17">
        <v>43548</v>
      </c>
      <c r="AK69" s="17">
        <v>43548</v>
      </c>
      <c r="AL69" s="16">
        <f t="shared" si="2"/>
        <v>827412</v>
      </c>
      <c r="AM69" s="33" t="s">
        <v>92</v>
      </c>
      <c r="AN69" s="13" t="s">
        <v>103</v>
      </c>
    </row>
    <row r="70" spans="1:40" x14ac:dyDescent="0.2">
      <c r="A70" s="29" t="s">
        <v>207</v>
      </c>
      <c r="B70" s="34" t="s">
        <v>57</v>
      </c>
      <c r="C70" s="35" t="s">
        <v>183</v>
      </c>
      <c r="D70" s="31" t="s">
        <v>64</v>
      </c>
      <c r="E70" s="36" t="s">
        <v>117</v>
      </c>
      <c r="F70" s="36" t="s">
        <v>74</v>
      </c>
      <c r="G70" s="17">
        <v>43548</v>
      </c>
      <c r="H70" s="17">
        <v>43548</v>
      </c>
      <c r="I70" s="17">
        <v>43548</v>
      </c>
      <c r="J70" s="17">
        <v>43548</v>
      </c>
      <c r="K70" s="17">
        <v>43548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6">
        <f t="shared" si="2"/>
        <v>217740</v>
      </c>
      <c r="AM70" s="33" t="s">
        <v>92</v>
      </c>
      <c r="AN70" s="13" t="s">
        <v>118</v>
      </c>
    </row>
    <row r="71" spans="1:40" x14ac:dyDescent="0.2">
      <c r="A71" s="29" t="s">
        <v>209</v>
      </c>
      <c r="B71" s="34" t="s">
        <v>57</v>
      </c>
      <c r="C71" s="35" t="s">
        <v>200</v>
      </c>
      <c r="D71" s="31" t="s">
        <v>64</v>
      </c>
      <c r="E71" s="36" t="s">
        <v>73</v>
      </c>
      <c r="F71" s="36" t="s">
        <v>139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>
        <v>43548</v>
      </c>
      <c r="S71" s="17">
        <v>43548</v>
      </c>
      <c r="T71" s="17">
        <v>43548</v>
      </c>
      <c r="U71" s="17">
        <v>43548</v>
      </c>
      <c r="V71" s="17">
        <v>43548</v>
      </c>
      <c r="W71" s="17">
        <v>43548</v>
      </c>
      <c r="X71" s="17">
        <v>43548</v>
      </c>
      <c r="Y71" s="17">
        <v>43548</v>
      </c>
      <c r="Z71" s="17">
        <v>43548</v>
      </c>
      <c r="AA71" s="17">
        <v>43548</v>
      </c>
      <c r="AB71" s="17">
        <v>43548</v>
      </c>
      <c r="AC71" s="17">
        <v>43548</v>
      </c>
      <c r="AD71" s="17">
        <v>43548</v>
      </c>
      <c r="AE71" s="17">
        <v>43548</v>
      </c>
      <c r="AF71" s="17">
        <v>43548</v>
      </c>
      <c r="AG71" s="17">
        <v>43548</v>
      </c>
      <c r="AH71" s="17">
        <v>43548</v>
      </c>
      <c r="AI71" s="17">
        <v>43548</v>
      </c>
      <c r="AJ71" s="17">
        <v>43548</v>
      </c>
      <c r="AK71" s="17">
        <v>43548</v>
      </c>
      <c r="AL71" s="16">
        <f t="shared" ref="AL71" si="12">SUM(G71:AK71)</f>
        <v>870960</v>
      </c>
      <c r="AM71" s="33" t="s">
        <v>92</v>
      </c>
      <c r="AN71" s="13" t="s">
        <v>103</v>
      </c>
    </row>
    <row r="72" spans="1:40" x14ac:dyDescent="0.2">
      <c r="A72" s="29" t="s">
        <v>213</v>
      </c>
      <c r="B72" s="34" t="s">
        <v>58</v>
      </c>
      <c r="C72" s="35" t="s">
        <v>171</v>
      </c>
      <c r="D72" s="31" t="s">
        <v>64</v>
      </c>
      <c r="E72" s="36" t="s">
        <v>117</v>
      </c>
      <c r="F72" s="36" t="s">
        <v>172</v>
      </c>
      <c r="G72" s="17">
        <v>43548</v>
      </c>
      <c r="H72" s="17">
        <v>43548</v>
      </c>
      <c r="I72" s="17">
        <v>43548</v>
      </c>
      <c r="J72" s="17">
        <v>43548</v>
      </c>
      <c r="K72" s="17">
        <v>43548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6">
        <f t="shared" si="2"/>
        <v>217740</v>
      </c>
      <c r="AM72" s="33" t="s">
        <v>92</v>
      </c>
      <c r="AN72" s="13" t="s">
        <v>118</v>
      </c>
    </row>
    <row r="73" spans="1:40" x14ac:dyDescent="0.2">
      <c r="A73" s="29" t="s">
        <v>214</v>
      </c>
      <c r="B73" s="34" t="s">
        <v>59</v>
      </c>
      <c r="C73" s="35" t="s">
        <v>185</v>
      </c>
      <c r="D73" s="31" t="s">
        <v>64</v>
      </c>
      <c r="E73" s="36" t="s">
        <v>117</v>
      </c>
      <c r="F73" s="36" t="s">
        <v>186</v>
      </c>
      <c r="G73" s="17">
        <v>43548</v>
      </c>
      <c r="H73" s="17">
        <v>43548</v>
      </c>
      <c r="I73" s="17">
        <v>43548</v>
      </c>
      <c r="J73" s="17">
        <v>43548</v>
      </c>
      <c r="K73" s="17">
        <v>43548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6">
        <f t="shared" si="2"/>
        <v>217740</v>
      </c>
      <c r="AM73" s="33" t="s">
        <v>92</v>
      </c>
      <c r="AN73" s="13" t="s">
        <v>118</v>
      </c>
    </row>
    <row r="74" spans="1:40" x14ac:dyDescent="0.2">
      <c r="A74" s="29" t="s">
        <v>215</v>
      </c>
      <c r="B74" s="34" t="s">
        <v>60</v>
      </c>
      <c r="C74" s="35" t="s">
        <v>162</v>
      </c>
      <c r="D74" s="31" t="s">
        <v>64</v>
      </c>
      <c r="E74" s="36" t="s">
        <v>73</v>
      </c>
      <c r="F74" s="36" t="s">
        <v>163</v>
      </c>
      <c r="G74" s="17">
        <v>43548</v>
      </c>
      <c r="H74" s="17">
        <v>43548</v>
      </c>
      <c r="I74" s="17">
        <v>43548</v>
      </c>
      <c r="J74" s="17">
        <v>43548</v>
      </c>
      <c r="K74" s="17">
        <v>43548</v>
      </c>
      <c r="L74" s="17">
        <v>43548</v>
      </c>
      <c r="M74" s="17">
        <v>43548</v>
      </c>
      <c r="N74" s="17">
        <v>43548</v>
      </c>
      <c r="O74" s="17">
        <v>43548</v>
      </c>
      <c r="P74" s="17">
        <v>43548</v>
      </c>
      <c r="Q74" s="17">
        <v>43548</v>
      </c>
      <c r="R74" s="17">
        <v>43548</v>
      </c>
      <c r="S74" s="17">
        <v>43548</v>
      </c>
      <c r="T74" s="17">
        <v>43548</v>
      </c>
      <c r="U74" s="17">
        <v>43548</v>
      </c>
      <c r="V74" s="17">
        <v>43548</v>
      </c>
      <c r="W74" s="17">
        <v>43548</v>
      </c>
      <c r="X74" s="17">
        <v>43548</v>
      </c>
      <c r="Y74" s="17">
        <v>43548</v>
      </c>
      <c r="Z74" s="17">
        <v>43548</v>
      </c>
      <c r="AA74" s="17">
        <v>43548</v>
      </c>
      <c r="AB74" s="17">
        <v>43548</v>
      </c>
      <c r="AC74" s="17">
        <v>43548</v>
      </c>
      <c r="AD74" s="17">
        <v>43548</v>
      </c>
      <c r="AE74" s="17">
        <v>43548</v>
      </c>
      <c r="AF74" s="17">
        <v>43548</v>
      </c>
      <c r="AG74" s="17">
        <v>43548</v>
      </c>
      <c r="AH74" s="17">
        <v>43548</v>
      </c>
      <c r="AI74" s="17">
        <v>43548</v>
      </c>
      <c r="AJ74" s="15">
        <f t="shared" ref="AJ74:AK74" si="13">1350000/31</f>
        <v>43548.387096774197</v>
      </c>
      <c r="AK74" s="15">
        <f t="shared" si="13"/>
        <v>43548.387096774197</v>
      </c>
      <c r="AL74" s="16">
        <f t="shared" si="2"/>
        <v>1349988.7741935486</v>
      </c>
      <c r="AM74" s="33" t="s">
        <v>92</v>
      </c>
      <c r="AN74" s="13" t="s">
        <v>103</v>
      </c>
    </row>
    <row r="75" spans="1:40" s="11" customFormat="1" x14ac:dyDescent="0.2">
      <c r="A75" s="61" t="s">
        <v>85</v>
      </c>
      <c r="B75" s="62"/>
      <c r="C75" s="62"/>
      <c r="D75" s="62"/>
      <c r="E75" s="62"/>
      <c r="F75" s="63"/>
      <c r="G75" s="51">
        <v>58</v>
      </c>
      <c r="H75" s="51">
        <v>58</v>
      </c>
      <c r="I75" s="51">
        <v>58</v>
      </c>
      <c r="J75" s="51">
        <v>58</v>
      </c>
      <c r="K75" s="51">
        <v>58</v>
      </c>
      <c r="L75" s="51">
        <v>58</v>
      </c>
      <c r="M75" s="51">
        <v>58</v>
      </c>
      <c r="N75" s="51">
        <v>58</v>
      </c>
      <c r="O75" s="51">
        <v>58</v>
      </c>
      <c r="P75" s="51">
        <v>58</v>
      </c>
      <c r="Q75" s="51">
        <v>58</v>
      </c>
      <c r="R75" s="51">
        <v>58</v>
      </c>
      <c r="S75" s="51">
        <v>58</v>
      </c>
      <c r="T75" s="51">
        <v>58</v>
      </c>
      <c r="U75" s="51">
        <v>58</v>
      </c>
      <c r="V75" s="51">
        <v>58</v>
      </c>
      <c r="W75" s="51">
        <v>58</v>
      </c>
      <c r="X75" s="51">
        <v>58</v>
      </c>
      <c r="Y75" s="51">
        <v>58</v>
      </c>
      <c r="Z75" s="51">
        <v>58</v>
      </c>
      <c r="AA75" s="51">
        <v>58</v>
      </c>
      <c r="AB75" s="51">
        <v>58</v>
      </c>
      <c r="AC75" s="51">
        <v>58</v>
      </c>
      <c r="AD75" s="51">
        <v>58</v>
      </c>
      <c r="AE75" s="51">
        <v>58</v>
      </c>
      <c r="AF75" s="51">
        <v>58</v>
      </c>
      <c r="AG75" s="51">
        <v>58</v>
      </c>
      <c r="AH75" s="51">
        <v>58</v>
      </c>
      <c r="AI75" s="51">
        <v>58</v>
      </c>
      <c r="AJ75" s="51">
        <v>58</v>
      </c>
      <c r="AK75" s="51">
        <v>58</v>
      </c>
      <c r="AL75" s="52">
        <f>SUM(G75:AK75)</f>
        <v>1798</v>
      </c>
      <c r="AM75" s="53"/>
      <c r="AN75" s="53"/>
    </row>
    <row r="76" spans="1:40" s="11" customFormat="1" x14ac:dyDescent="0.2">
      <c r="A76" s="64" t="s">
        <v>95</v>
      </c>
      <c r="B76" s="65"/>
      <c r="C76" s="65"/>
      <c r="D76" s="65"/>
      <c r="E76" s="65"/>
      <c r="F76" s="66"/>
      <c r="G76" s="24">
        <f>COUNTA(G6:G74)</f>
        <v>48</v>
      </c>
      <c r="H76" s="24">
        <f t="shared" ref="H76:AK76" si="14">COUNTA(H6:H74)</f>
        <v>48</v>
      </c>
      <c r="I76" s="24">
        <f t="shared" si="14"/>
        <v>48</v>
      </c>
      <c r="J76" s="24">
        <f t="shared" si="14"/>
        <v>51</v>
      </c>
      <c r="K76" s="24">
        <f t="shared" si="14"/>
        <v>48</v>
      </c>
      <c r="L76" s="24">
        <f t="shared" si="14"/>
        <v>42</v>
      </c>
      <c r="M76" s="24">
        <f t="shared" si="14"/>
        <v>42</v>
      </c>
      <c r="N76" s="24">
        <f t="shared" si="14"/>
        <v>43</v>
      </c>
      <c r="O76" s="24">
        <f t="shared" si="14"/>
        <v>43</v>
      </c>
      <c r="P76" s="24">
        <f t="shared" si="14"/>
        <v>45</v>
      </c>
      <c r="Q76" s="24">
        <f t="shared" si="14"/>
        <v>41</v>
      </c>
      <c r="R76" s="24">
        <f t="shared" si="14"/>
        <v>42</v>
      </c>
      <c r="S76" s="24">
        <f t="shared" si="14"/>
        <v>43</v>
      </c>
      <c r="T76" s="24">
        <f t="shared" si="14"/>
        <v>44</v>
      </c>
      <c r="U76" s="24">
        <f t="shared" si="14"/>
        <v>45</v>
      </c>
      <c r="V76" s="24">
        <f t="shared" si="14"/>
        <v>44</v>
      </c>
      <c r="W76" s="24">
        <f t="shared" si="14"/>
        <v>46</v>
      </c>
      <c r="X76" s="24">
        <f t="shared" si="14"/>
        <v>47</v>
      </c>
      <c r="Y76" s="24">
        <f t="shared" si="14"/>
        <v>45</v>
      </c>
      <c r="Z76" s="24">
        <f t="shared" si="14"/>
        <v>45</v>
      </c>
      <c r="AA76" s="24">
        <f t="shared" si="14"/>
        <v>48</v>
      </c>
      <c r="AB76" s="24">
        <f t="shared" si="14"/>
        <v>48</v>
      </c>
      <c r="AC76" s="24">
        <f t="shared" si="14"/>
        <v>48</v>
      </c>
      <c r="AD76" s="24">
        <f t="shared" si="14"/>
        <v>47</v>
      </c>
      <c r="AE76" s="24">
        <f t="shared" si="14"/>
        <v>46</v>
      </c>
      <c r="AF76" s="24">
        <f t="shared" si="14"/>
        <v>46</v>
      </c>
      <c r="AG76" s="24">
        <f t="shared" si="14"/>
        <v>46</v>
      </c>
      <c r="AH76" s="24">
        <f t="shared" si="14"/>
        <v>45</v>
      </c>
      <c r="AI76" s="24">
        <f t="shared" si="14"/>
        <v>45</v>
      </c>
      <c r="AJ76" s="24">
        <f t="shared" si="14"/>
        <v>45</v>
      </c>
      <c r="AK76" s="24">
        <f t="shared" si="14"/>
        <v>44</v>
      </c>
      <c r="AL76" s="52">
        <f t="shared" ref="AL76:AL77" si="15">SUM(G76:AK76)</f>
        <v>1408</v>
      </c>
      <c r="AM76" s="38"/>
      <c r="AN76" s="38"/>
    </row>
    <row r="77" spans="1:40" s="11" customFormat="1" x14ac:dyDescent="0.2">
      <c r="A77" s="64" t="s">
        <v>86</v>
      </c>
      <c r="B77" s="65"/>
      <c r="C77" s="65"/>
      <c r="D77" s="65"/>
      <c r="E77" s="65"/>
      <c r="F77" s="66"/>
      <c r="G77" s="24">
        <f>G75-G76</f>
        <v>10</v>
      </c>
      <c r="H77" s="24">
        <f>H75-H76</f>
        <v>10</v>
      </c>
      <c r="I77" s="24">
        <f t="shared" ref="I77:AK77" si="16">I75-I76</f>
        <v>10</v>
      </c>
      <c r="J77" s="24">
        <f t="shared" si="16"/>
        <v>7</v>
      </c>
      <c r="K77" s="24">
        <f t="shared" si="16"/>
        <v>10</v>
      </c>
      <c r="L77" s="24">
        <f t="shared" si="16"/>
        <v>16</v>
      </c>
      <c r="M77" s="24">
        <f t="shared" si="16"/>
        <v>16</v>
      </c>
      <c r="N77" s="24">
        <f t="shared" si="16"/>
        <v>15</v>
      </c>
      <c r="O77" s="24">
        <f t="shared" si="16"/>
        <v>15</v>
      </c>
      <c r="P77" s="24">
        <f t="shared" si="16"/>
        <v>13</v>
      </c>
      <c r="Q77" s="24">
        <f t="shared" si="16"/>
        <v>17</v>
      </c>
      <c r="R77" s="24">
        <f t="shared" si="16"/>
        <v>16</v>
      </c>
      <c r="S77" s="24">
        <f t="shared" si="16"/>
        <v>15</v>
      </c>
      <c r="T77" s="24">
        <f t="shared" si="16"/>
        <v>14</v>
      </c>
      <c r="U77" s="24">
        <f t="shared" si="16"/>
        <v>13</v>
      </c>
      <c r="V77" s="24">
        <f t="shared" si="16"/>
        <v>14</v>
      </c>
      <c r="W77" s="24">
        <f t="shared" si="16"/>
        <v>12</v>
      </c>
      <c r="X77" s="24">
        <f t="shared" si="16"/>
        <v>11</v>
      </c>
      <c r="Y77" s="24">
        <f t="shared" si="16"/>
        <v>13</v>
      </c>
      <c r="Z77" s="24">
        <f t="shared" si="16"/>
        <v>13</v>
      </c>
      <c r="AA77" s="24">
        <f t="shared" si="16"/>
        <v>10</v>
      </c>
      <c r="AB77" s="24">
        <f t="shared" si="16"/>
        <v>10</v>
      </c>
      <c r="AC77" s="24">
        <f t="shared" si="16"/>
        <v>10</v>
      </c>
      <c r="AD77" s="24">
        <f t="shared" si="16"/>
        <v>11</v>
      </c>
      <c r="AE77" s="24">
        <f t="shared" si="16"/>
        <v>12</v>
      </c>
      <c r="AF77" s="24">
        <f t="shared" si="16"/>
        <v>12</v>
      </c>
      <c r="AG77" s="24">
        <f t="shared" si="16"/>
        <v>12</v>
      </c>
      <c r="AH77" s="24">
        <f t="shared" si="16"/>
        <v>13</v>
      </c>
      <c r="AI77" s="24">
        <f t="shared" si="16"/>
        <v>13</v>
      </c>
      <c r="AJ77" s="24">
        <f t="shared" si="16"/>
        <v>13</v>
      </c>
      <c r="AK77" s="24">
        <f t="shared" si="16"/>
        <v>14</v>
      </c>
      <c r="AL77" s="52">
        <f t="shared" si="15"/>
        <v>390</v>
      </c>
      <c r="AM77" s="38"/>
      <c r="AN77" s="38"/>
    </row>
    <row r="78" spans="1:40" s="11" customFormat="1" ht="14.25" customHeight="1" x14ac:dyDescent="0.2">
      <c r="A78" s="64" t="s">
        <v>87</v>
      </c>
      <c r="B78" s="65"/>
      <c r="C78" s="65"/>
      <c r="D78" s="65"/>
      <c r="E78" s="65"/>
      <c r="F78" s="66"/>
      <c r="G78" s="25">
        <f>G76/G75</f>
        <v>0.82758620689655171</v>
      </c>
      <c r="H78" s="25">
        <f t="shared" ref="H78:AK78" si="17">H76/H75</f>
        <v>0.82758620689655171</v>
      </c>
      <c r="I78" s="25">
        <f t="shared" si="17"/>
        <v>0.82758620689655171</v>
      </c>
      <c r="J78" s="25">
        <f t="shared" si="17"/>
        <v>0.87931034482758619</v>
      </c>
      <c r="K78" s="25">
        <f t="shared" si="17"/>
        <v>0.82758620689655171</v>
      </c>
      <c r="L78" s="25">
        <f t="shared" si="17"/>
        <v>0.72413793103448276</v>
      </c>
      <c r="M78" s="25">
        <f t="shared" si="17"/>
        <v>0.72413793103448276</v>
      </c>
      <c r="N78" s="25">
        <f t="shared" si="17"/>
        <v>0.74137931034482762</v>
      </c>
      <c r="O78" s="25">
        <f t="shared" si="17"/>
        <v>0.74137931034482762</v>
      </c>
      <c r="P78" s="25">
        <f>P76/P75</f>
        <v>0.77586206896551724</v>
      </c>
      <c r="Q78" s="25">
        <f t="shared" si="17"/>
        <v>0.7068965517241379</v>
      </c>
      <c r="R78" s="25">
        <f t="shared" si="17"/>
        <v>0.72413793103448276</v>
      </c>
      <c r="S78" s="25">
        <f t="shared" si="17"/>
        <v>0.74137931034482762</v>
      </c>
      <c r="T78" s="25">
        <f t="shared" si="17"/>
        <v>0.75862068965517238</v>
      </c>
      <c r="U78" s="25">
        <f t="shared" si="17"/>
        <v>0.77586206896551724</v>
      </c>
      <c r="V78" s="25">
        <f t="shared" si="17"/>
        <v>0.75862068965517238</v>
      </c>
      <c r="W78" s="25">
        <f t="shared" si="17"/>
        <v>0.7931034482758621</v>
      </c>
      <c r="X78" s="25">
        <f t="shared" si="17"/>
        <v>0.81034482758620685</v>
      </c>
      <c r="Y78" s="25">
        <f t="shared" si="17"/>
        <v>0.77586206896551724</v>
      </c>
      <c r="Z78" s="25">
        <f t="shared" si="17"/>
        <v>0.77586206896551724</v>
      </c>
      <c r="AA78" s="25">
        <f t="shared" si="17"/>
        <v>0.82758620689655171</v>
      </c>
      <c r="AB78" s="25">
        <f t="shared" si="17"/>
        <v>0.82758620689655171</v>
      </c>
      <c r="AC78" s="25">
        <f t="shared" si="17"/>
        <v>0.82758620689655171</v>
      </c>
      <c r="AD78" s="25">
        <f t="shared" si="17"/>
        <v>0.81034482758620685</v>
      </c>
      <c r="AE78" s="25">
        <f t="shared" si="17"/>
        <v>0.7931034482758621</v>
      </c>
      <c r="AF78" s="25">
        <f t="shared" si="17"/>
        <v>0.7931034482758621</v>
      </c>
      <c r="AG78" s="25">
        <f t="shared" si="17"/>
        <v>0.7931034482758621</v>
      </c>
      <c r="AH78" s="25">
        <f t="shared" si="17"/>
        <v>0.77586206896551724</v>
      </c>
      <c r="AI78" s="25">
        <f t="shared" si="17"/>
        <v>0.77586206896551724</v>
      </c>
      <c r="AJ78" s="25">
        <f t="shared" si="17"/>
        <v>0.77586206896551724</v>
      </c>
      <c r="AK78" s="25">
        <f t="shared" si="17"/>
        <v>0.75862068965517238</v>
      </c>
      <c r="AL78" s="26">
        <f>AL76/AL75</f>
        <v>0.7830923248053393</v>
      </c>
      <c r="AM78" s="38"/>
      <c r="AN78" s="38"/>
    </row>
    <row r="79" spans="1:40" s="11" customFormat="1" x14ac:dyDescent="0.2">
      <c r="A79" s="64" t="s">
        <v>88</v>
      </c>
      <c r="B79" s="65"/>
      <c r="C79" s="65"/>
      <c r="D79" s="65"/>
      <c r="E79" s="65"/>
      <c r="F79" s="66"/>
      <c r="G79" s="27">
        <f>SUM(G6:G74)</f>
        <v>1934475.0453184075</v>
      </c>
      <c r="H79" s="27">
        <f t="shared" ref="H79:AJ79" si="18">SUM(H6:H74)</f>
        <v>1934475.0453184075</v>
      </c>
      <c r="I79" s="27">
        <f t="shared" si="18"/>
        <v>1934475.0453184075</v>
      </c>
      <c r="J79" s="27">
        <f t="shared" si="18"/>
        <v>2647379.0453184075</v>
      </c>
      <c r="K79" s="27">
        <f t="shared" si="18"/>
        <v>2047379.0453184075</v>
      </c>
      <c r="L79" s="27">
        <f t="shared" si="18"/>
        <v>1781431.9342072962</v>
      </c>
      <c r="M79" s="27">
        <f t="shared" si="18"/>
        <v>1781431.9342072962</v>
      </c>
      <c r="N79" s="27">
        <f t="shared" si="18"/>
        <v>1830893.5256051458</v>
      </c>
      <c r="O79" s="27">
        <f t="shared" si="18"/>
        <v>1830893.5256051458</v>
      </c>
      <c r="P79" s="27">
        <f t="shared" si="18"/>
        <v>1917989.5256051458</v>
      </c>
      <c r="Q79" s="27">
        <f t="shared" si="18"/>
        <v>1743797.5256051458</v>
      </c>
      <c r="R79" s="27">
        <f t="shared" si="18"/>
        <v>1787345.5256051458</v>
      </c>
      <c r="S79" s="27">
        <f t="shared" si="18"/>
        <v>1830893.5256051458</v>
      </c>
      <c r="T79" s="27">
        <f t="shared" si="18"/>
        <v>1874441.5256051458</v>
      </c>
      <c r="U79" s="27">
        <f t="shared" si="18"/>
        <v>1917989.5256051458</v>
      </c>
      <c r="V79" s="27">
        <f t="shared" si="18"/>
        <v>1874441.5256051456</v>
      </c>
      <c r="W79" s="27">
        <f t="shared" si="18"/>
        <v>1955623.9342072965</v>
      </c>
      <c r="X79" s="27">
        <f t="shared" si="18"/>
        <v>1993258.3428094471</v>
      </c>
      <c r="Y79" s="27">
        <f t="shared" si="18"/>
        <v>1793258.3428094471</v>
      </c>
      <c r="Z79" s="27">
        <f t="shared" si="18"/>
        <v>1793258.3428094471</v>
      </c>
      <c r="AA79" s="27">
        <f t="shared" si="18"/>
        <v>2036806.3428094471</v>
      </c>
      <c r="AB79" s="27">
        <f t="shared" si="18"/>
        <v>2036806.3428094471</v>
      </c>
      <c r="AC79" s="27">
        <f t="shared" si="18"/>
        <v>2036806.3428094471</v>
      </c>
      <c r="AD79" s="27">
        <f t="shared" si="18"/>
        <v>1993258.3428094471</v>
      </c>
      <c r="AE79" s="27">
        <f t="shared" si="18"/>
        <v>1893258.3428094469</v>
      </c>
      <c r="AF79" s="27">
        <f t="shared" si="18"/>
        <v>1893258.3428094469</v>
      </c>
      <c r="AG79" s="27">
        <f t="shared" si="18"/>
        <v>1893258.3428094469</v>
      </c>
      <c r="AH79" s="27">
        <f t="shared" si="18"/>
        <v>1793258.3428094469</v>
      </c>
      <c r="AI79" s="27">
        <f t="shared" si="18"/>
        <v>1793258.3428094469</v>
      </c>
      <c r="AJ79" s="27">
        <f t="shared" si="18"/>
        <v>1793258.7299062212</v>
      </c>
      <c r="AK79" s="27"/>
      <c r="AL79" s="23">
        <f>SUM(G79:AJ79)</f>
        <v>57368359.603279822</v>
      </c>
      <c r="AM79" s="38"/>
      <c r="AN79" s="38"/>
    </row>
    <row r="80" spans="1:40" x14ac:dyDescent="0.2">
      <c r="A80" s="2"/>
      <c r="B80" s="2"/>
      <c r="C80" s="2"/>
      <c r="D80" s="2"/>
      <c r="E80" s="2"/>
      <c r="F80" s="2"/>
      <c r="AM80" s="2"/>
      <c r="AN80" s="2"/>
    </row>
    <row r="81" spans="1:40" x14ac:dyDescent="0.2">
      <c r="A81" s="2"/>
      <c r="B81" s="2"/>
      <c r="C81" s="2"/>
      <c r="D81" s="2"/>
      <c r="E81" s="2"/>
      <c r="F81" s="2" t="s">
        <v>100</v>
      </c>
      <c r="M81" s="5"/>
      <c r="W81" s="48"/>
      <c r="AM81" s="5">
        <v>15</v>
      </c>
      <c r="AN81" s="2" t="s">
        <v>111</v>
      </c>
    </row>
    <row r="82" spans="1:40" x14ac:dyDescent="0.2">
      <c r="A82" s="2"/>
      <c r="B82" s="2"/>
      <c r="C82" s="2"/>
      <c r="D82" s="2"/>
      <c r="E82" s="2"/>
      <c r="F82" s="2" t="s">
        <v>89</v>
      </c>
      <c r="M82" s="5"/>
      <c r="AM82" s="5">
        <v>7</v>
      </c>
      <c r="AN82" s="2" t="s">
        <v>111</v>
      </c>
    </row>
    <row r="83" spans="1:40" x14ac:dyDescent="0.2">
      <c r="A83" s="2"/>
      <c r="B83" s="2"/>
      <c r="C83" s="2"/>
      <c r="D83" s="2"/>
      <c r="E83" s="2"/>
      <c r="F83" s="2" t="s">
        <v>92</v>
      </c>
      <c r="M83" s="5"/>
      <c r="AD83" s="12"/>
      <c r="AM83" s="5">
        <v>39</v>
      </c>
      <c r="AN83" s="2" t="s">
        <v>111</v>
      </c>
    </row>
    <row r="84" spans="1:40" x14ac:dyDescent="0.2">
      <c r="A84" s="2"/>
      <c r="B84" s="2"/>
      <c r="C84" s="2"/>
      <c r="D84" s="2"/>
      <c r="E84" s="2"/>
      <c r="F84" s="2" t="s">
        <v>91</v>
      </c>
      <c r="M84" s="5"/>
      <c r="AD84" s="12"/>
      <c r="AM84" s="5">
        <v>4</v>
      </c>
      <c r="AN84" s="2" t="s">
        <v>111</v>
      </c>
    </row>
    <row r="85" spans="1:40" x14ac:dyDescent="0.2">
      <c r="A85" s="2"/>
      <c r="B85" s="2"/>
      <c r="C85" s="2"/>
      <c r="D85" s="2"/>
      <c r="E85" s="2"/>
      <c r="F85" s="2" t="s">
        <v>90</v>
      </c>
      <c r="M85" s="5"/>
      <c r="AM85" s="5">
        <v>4</v>
      </c>
      <c r="AN85" s="2" t="s">
        <v>111</v>
      </c>
    </row>
    <row r="86" spans="1:40" x14ac:dyDescent="0.2">
      <c r="A86" s="2"/>
      <c r="B86" s="2"/>
      <c r="C86" s="2"/>
      <c r="D86" s="2"/>
      <c r="E86" s="2"/>
      <c r="F86" s="8" t="s">
        <v>101</v>
      </c>
      <c r="M86" s="10"/>
      <c r="AM86" s="10">
        <f>SUM(AM81:AM85)</f>
        <v>69</v>
      </c>
      <c r="AN86" s="8" t="s">
        <v>111</v>
      </c>
    </row>
    <row r="87" spans="1:40" x14ac:dyDescent="0.2">
      <c r="A87" s="2"/>
      <c r="B87" s="2"/>
      <c r="C87" s="2"/>
      <c r="D87" s="2"/>
      <c r="E87" s="2"/>
      <c r="F87" s="2"/>
      <c r="AM87" s="2"/>
      <c r="AN87" s="2"/>
    </row>
    <row r="88" spans="1:40" x14ac:dyDescent="0.2">
      <c r="A88" s="2"/>
      <c r="B88" s="2"/>
      <c r="C88" s="2"/>
      <c r="D88" s="2"/>
      <c r="E88" s="2"/>
      <c r="F88" s="2" t="s">
        <v>112</v>
      </c>
      <c r="AM88" s="6">
        <v>48</v>
      </c>
      <c r="AN88" s="2" t="s">
        <v>111</v>
      </c>
    </row>
  </sheetData>
  <autoFilter ref="A4:AN79" xr:uid="{1A6FF6B1-528E-4B49-989F-18007C737AB9}"/>
  <mergeCells count="14">
    <mergeCell ref="A77:F77"/>
    <mergeCell ref="A78:F78"/>
    <mergeCell ref="A79:F79"/>
    <mergeCell ref="AL4:AL5"/>
    <mergeCell ref="AM4:AM5"/>
    <mergeCell ref="AN4:AN5"/>
    <mergeCell ref="A75:F75"/>
    <mergeCell ref="A76:F76"/>
    <mergeCell ref="A4:A5"/>
    <mergeCell ref="B4:B5"/>
    <mergeCell ref="C4:C5"/>
    <mergeCell ref="D4:D5"/>
    <mergeCell ref="E4:E5"/>
    <mergeCell ref="F4:F5"/>
  </mergeCells>
  <phoneticPr fontId="11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AGT 26</vt:lpstr>
      <vt:lpstr>AGT 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Faraby Daffa</cp:lastModifiedBy>
  <cp:lastPrinted>2025-09-10T01:38:58Z</cp:lastPrinted>
  <dcterms:created xsi:type="dcterms:W3CDTF">2024-06-25T09:15:57Z</dcterms:created>
  <dcterms:modified xsi:type="dcterms:W3CDTF">2026-04-13T07:09:18Z</dcterms:modified>
</cp:coreProperties>
</file>